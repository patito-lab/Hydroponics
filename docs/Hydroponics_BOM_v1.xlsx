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raytongiesman/Documents/Hydroponics Project/"/>
    </mc:Choice>
  </mc:AlternateContent>
  <xr:revisionPtr revIDLastSave="0" documentId="13_ncr:1_{E416B9F3-1CB9-6541-B3A1-E6F2E0E124EF}" xr6:coauthVersionLast="47" xr6:coauthVersionMax="47" xr10:uidLastSave="{00000000-0000-0000-0000-000000000000}"/>
  <bookViews>
    <workbookView xWindow="0" yWindow="660" windowWidth="23800" windowHeight="15400" tabRatio="500" xr2:uid="{00000000-000D-0000-FFFF-FFFF00000000}"/>
  </bookViews>
  <sheets>
    <sheet name="Summary" sheetId="1" r:id="rId1"/>
    <sheet name="BOM" sheetId="2" r:id="rId2"/>
  </sheets>
  <definedNames>
    <definedName name="_xlnm._FilterDatabase" localSheetId="1" hidden="1">BOM!$A$1:$K$53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" l="1"/>
  <c r="H2" i="2"/>
  <c r="H53" i="2"/>
  <c r="H52" i="2"/>
  <c r="H51" i="2"/>
  <c r="H50" i="2"/>
  <c r="H49" i="2"/>
  <c r="C16" i="1" s="1"/>
  <c r="H48" i="2"/>
  <c r="H47" i="2"/>
  <c r="H46" i="2"/>
  <c r="H45" i="2"/>
  <c r="C15" i="1" s="1"/>
  <c r="H44" i="2"/>
  <c r="H43" i="2"/>
  <c r="H42" i="2"/>
  <c r="H41" i="2"/>
  <c r="H40" i="2"/>
  <c r="H39" i="2"/>
  <c r="H38" i="2"/>
  <c r="H37" i="2"/>
  <c r="H36" i="2"/>
  <c r="C14" i="1" s="1"/>
  <c r="H35" i="2"/>
  <c r="C13" i="1" s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C11" i="1" s="1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C10" i="1" s="1"/>
  <c r="H4" i="2"/>
  <c r="H3" i="2"/>
  <c r="C12" i="1"/>
  <c r="C17" i="1" l="1"/>
</calcChain>
</file>

<file path=xl/sharedStrings.xml><?xml version="1.0" encoding="utf-8"?>
<sst xmlns="http://schemas.openxmlformats.org/spreadsheetml/2006/main" count="285" uniqueCount="164">
  <si>
    <t>Kitchen Hydroponics — Bill of Materials (v1)</t>
  </si>
  <si>
    <t>Recirculating DWC base build. Prices are single-unit estimates in USD, as of Jul 2026 — verify before ordering.</t>
  </si>
  <si>
    <t>How to use</t>
  </si>
  <si>
    <t>Include column (yellow, on the BOM tab): 1 = counted in totals, 0 = excluded. Toggle it to match what you're actually buying.</t>
  </si>
  <si>
    <t>Budget-path pH/EC sensors are ON by default; the two Atlas precision rows are OFF. The Atlas parts REPLACE the DFRobot pH/EC parts — don't run both.</t>
  </si>
  <si>
    <t>COST SUMMARY — included items only</t>
  </si>
  <si>
    <t>Build phase</t>
  </si>
  <si>
    <t>Cost ($)</t>
  </si>
  <si>
    <t>V1 — Compute, drivers, power</t>
  </si>
  <si>
    <t>V1.5 — Sensing, dosing, aeration</t>
  </si>
  <si>
    <t>V2 — Environmental + lighting</t>
  </si>
  <si>
    <t>V3 — Wireless node (per unit)</t>
  </si>
  <si>
    <t>Mechanical &amp; plumbing</t>
  </si>
  <si>
    <t>Consumables (not plants)</t>
  </si>
  <si>
    <t>Bench tools</t>
  </si>
  <si>
    <t>TOTAL (included)</t>
  </si>
  <si>
    <t>For the precision build: set the two Atlas rows to Include=1 and the DFRobot pH/EC rows to Include=0. Net delta is about +$296.</t>
  </si>
  <si>
    <t>Price basis: single-unit estimates from ST, DigiKey, DFRobot, Atlas Scientific, Amazon, and PowerGrow listings (Jul 2026). Treat as planning figures; check current price and shipping at order time.</t>
  </si>
  <si>
    <t>Phase</t>
  </si>
  <si>
    <t>Subsystem</t>
  </si>
  <si>
    <t>Item / spec</t>
  </si>
  <si>
    <t>Qty</t>
  </si>
  <si>
    <t>Unit $</t>
  </si>
  <si>
    <t>Include</t>
  </si>
  <si>
    <t>Line $</t>
  </si>
  <si>
    <t>Vendor</t>
  </si>
  <si>
    <t>Link</t>
  </si>
  <si>
    <t>Notes</t>
  </si>
  <si>
    <t>V1</t>
  </si>
  <si>
    <t>Compute</t>
  </si>
  <si>
    <t>STM32 Nucleo-F446RE dev board</t>
  </si>
  <si>
    <t>ST eStore / DigiKey</t>
  </si>
  <si>
    <t>https://estore.st.com/en/nucleo-f446re-cpn.html</t>
  </si>
  <si>
    <t>Onboard ST-LINK, no separate programmer. ~$25 from ST/DigiKey, ~$42 from Amazon/eBay resellers.</t>
  </si>
  <si>
    <t>USB Mini-B cable (for ST-LINK)</t>
  </si>
  <si>
    <t>Amazon</t>
  </si>
  <si>
    <t>Skip if you already have one.</t>
  </si>
  <si>
    <t>Breadboards (half/full)</t>
  </si>
  <si>
    <t>Jumper wire assortment (M-M / M-F / F-F)</t>
  </si>
  <si>
    <t>Perfboard / protoboard pack</t>
  </si>
  <si>
    <t>For semi-permanent build once the breadboard version works.</t>
  </si>
  <si>
    <t>Male header strips (2.54mm)</t>
  </si>
  <si>
    <t>Screw terminal blocks (assortment)</t>
  </si>
  <si>
    <t>Driver</t>
  </si>
  <si>
    <t>IRLZ44N logic-level MOSFETs (10-pk)</t>
  </si>
  <si>
    <t>Pump switching; logic-level gate drives from 3.3V.</t>
  </si>
  <si>
    <t>Small MOSFETs AO3400 / 2N7000 (asst)</t>
  </si>
  <si>
    <t>Small loads.</t>
  </si>
  <si>
    <t>1N4007 diodes (100-pk)</t>
  </si>
  <si>
    <t>Flyback across every pump motor.</t>
  </si>
  <si>
    <t>Resistor kit (incl 4.7k, gate Rs)</t>
  </si>
  <si>
    <t>4.7k is the DS18B20 1-Wire pull-up.</t>
  </si>
  <si>
    <t>Capacitor assortment (decoupling + bulk)</t>
  </si>
  <si>
    <t>Power</t>
  </si>
  <si>
    <t>12V DC PSU, 5A+</t>
  </si>
  <si>
    <t>Sized to run pumps + 12V LED together.</t>
  </si>
  <si>
    <t>Buck converter LM2596 (3-pk)</t>
  </si>
  <si>
    <t>5V/3.3V logic rails. Skip if powering Nucleo over USB during dev.</t>
  </si>
  <si>
    <t>Multi-channel MOSFET board (optional)</t>
  </si>
  <si>
    <t>Convenience alternative to discrete MOSFETs above. Pick one approach, not both.</t>
  </si>
  <si>
    <t>V1.5</t>
  </si>
  <si>
    <t>Sensing (budget)</t>
  </si>
  <si>
    <t>DFRobot Gravity pH Kit V2 (SEN0161-V2)</t>
  </si>
  <si>
    <t>DFRobot / DigiKey</t>
  </si>
  <si>
    <t>https://www.digikey.com/en/products/detail/dfrobot/SEN0161-V2/9608223</t>
  </si>
  <si>
    <t>Probe + conditioning board + cal solutions.</t>
  </si>
  <si>
    <t>DFRobot Gravity EC sensor K=1 (DFR0300)</t>
  </si>
  <si>
    <t>DFRobot</t>
  </si>
  <si>
    <t>https://www.dfrobot.com/topic-282.html</t>
  </si>
  <si>
    <t>EC tracks nutrient strength more directly than TDS; prefer over SEN0244.</t>
  </si>
  <si>
    <t>Waterproof DS18B20 solution-temp probe</t>
  </si>
  <si>
    <t>Amazon / DigiKey</t>
  </si>
  <si>
    <t>Required for temp compensation on pH and EC. Not optional.</t>
  </si>
  <si>
    <t>Reservoir float switch (level)</t>
  </si>
  <si>
    <t>Basic low/refill detection.</t>
  </si>
  <si>
    <t>Ultrasonic level JSN-SR04T (optional)</t>
  </si>
  <si>
    <t>Continuous level for volume-based dosing math. Alternative to float switch.</t>
  </si>
  <si>
    <t>Sensing (precision)</t>
  </si>
  <si>
    <t>Atlas Scientific EZO-pH Kit</t>
  </si>
  <si>
    <t>Atlas Scientific</t>
  </si>
  <si>
    <t>https://atlas-scientific.com/kits/ph-kit/</t>
  </si>
  <si>
    <t>Isolated, I2C. REPLACES the DFRobot pH row. Verify current price (~$175).</t>
  </si>
  <si>
    <t>Atlas Scientific EZO-EC Kit K1.0 (EC-KIT-1.0)</t>
  </si>
  <si>
    <t>https://atlas-scientific.com/kits/conductivity-k-1-0-kit/</t>
  </si>
  <si>
    <t>Isolated, I2C. REPLACES the DFRobot EC row. Also solves probe cross-interference.</t>
  </si>
  <si>
    <t>Dosing</t>
  </si>
  <si>
    <t>12V peristaltic dosing pump (Kamoer NKP / INTLLAB)</t>
  </si>
  <si>
    <t>https://www.amazon.com/Kamoer-Peristaltic-Hydroponics-Nutrient-Analytical/dp/B07GWJ78FN</t>
  </si>
  <si>
    <t>Nutrient A, Nutrient B, pH Down, pH Up. Start with 3 and defer pH Up if budget-limited.</t>
  </si>
  <si>
    <t>Silicone dosing tubing 2x4mm (roll)</t>
  </si>
  <si>
    <t>Inline check valves (dosing lines)</t>
  </si>
  <si>
    <t>Stop siphon-back into the stock bottles.</t>
  </si>
  <si>
    <t>Aeration</t>
  </si>
  <si>
    <t>Air pump</t>
  </si>
  <si>
    <t>DWC aeration.</t>
  </si>
  <si>
    <t>Air stone(s) + airline tubing</t>
  </si>
  <si>
    <t>Submersible pump (optional)</t>
  </si>
  <si>
    <t>Only if you add recirculation or switch to NFT.</t>
  </si>
  <si>
    <t>V2</t>
  </si>
  <si>
    <t>Env sensing</t>
  </si>
  <si>
    <t>SHT31 temp/humidity breakout</t>
  </si>
  <si>
    <t>Adafruit / Amazon</t>
  </si>
  <si>
    <t>Better RH accuracy than BME280. Pick BME280 only if you want barometric pressure.</t>
  </si>
  <si>
    <t>BH1750 ambient light (lux) sensor</t>
  </si>
  <si>
    <t>Cheap grow-light feedback proxy.</t>
  </si>
  <si>
    <t>PAR / quantum sensor, Apogee (optional)</t>
  </si>
  <si>
    <t>Apogee</t>
  </si>
  <si>
    <t>Accurate umol data; only worth it if you need PAR. Expensive.</t>
  </si>
  <si>
    <t>Lighting</t>
  </si>
  <si>
    <t>12V full-spectrum LED grow strip / small panel</t>
  </si>
  <si>
    <t>Drive via MOSFET PWM for photoperiod and dimming.</t>
  </si>
  <si>
    <t>Aluminum LED channel + heatsinking (optional)</t>
  </si>
  <si>
    <t>If you go with a higher-power strip.</t>
  </si>
  <si>
    <t>V3</t>
  </si>
  <si>
    <t>Wireless</t>
  </si>
  <si>
    <t>STM32 Nucleo-WB55RG board (per node)</t>
  </si>
  <si>
    <t>ST / DigiKey</t>
  </si>
  <si>
    <t>https://www.digikey.com/en/products/detail/stmicroelectronics/NUCLEO-WB55RG/13684823</t>
  </si>
  <si>
    <t>BLE on your CubeIDE toolchain (no ESP32 stack). P-NUCLEO-WB55 pack w/ USB dongle ~$77.</t>
  </si>
  <si>
    <t>Mech</t>
  </si>
  <si>
    <t>Reservoir</t>
  </si>
  <si>
    <t>Opaque food-grade reservoir (5-gal bucket / tote)</t>
  </si>
  <si>
    <t>Hardware store</t>
  </si>
  <si>
    <t>Opaque prevents algae; a clear tank grows it.</t>
  </si>
  <si>
    <t>Lid + net pots + neoprene collars</t>
  </si>
  <si>
    <t>Media</t>
  </si>
  <si>
    <t>Clay pebbles (hydroton)</t>
  </si>
  <si>
    <t>Growing medium, not a plant.</t>
  </si>
  <si>
    <t>Rockwool starter cubes</t>
  </si>
  <si>
    <t>Seed-start medium, not a plant.</t>
  </si>
  <si>
    <t>Plumbing</t>
  </si>
  <si>
    <t>Stock bottles for nutrient / pH solutions</t>
  </si>
  <si>
    <t>Dosing pumps draw from these.</t>
  </si>
  <si>
    <t>Grommets / bulkhead fittings</t>
  </si>
  <si>
    <t>Enclosure</t>
  </si>
  <si>
    <t>Project enclosure + cable glands + standoffs</t>
  </si>
  <si>
    <t>Mount electronics clear of splashes.</t>
  </si>
  <si>
    <t>Consum</t>
  </si>
  <si>
    <t>Nutrients</t>
  </si>
  <si>
    <t>Masterblend 4-18-38 combo kit, 2.5 lb (w/ CalNit + Epsom)</t>
  </si>
  <si>
    <t>Amazon / PowerGrow</t>
  </si>
  <si>
    <t>https://www.amazon.com/MASTERBLEND-4-18-38-Complete-Combo-Fertilizer/dp/B071L15G5Y</t>
  </si>
  <si>
    <t>2-part scheme, ~180 gal. Keep CalNit stock separate from A/B or it precipitates.</t>
  </si>
  <si>
    <t>pH control</t>
  </si>
  <si>
    <t>pH Down (phosphoric acid)</t>
  </si>
  <si>
    <t>pH Up (potassium hydroxide / carbonate)</t>
  </si>
  <si>
    <t>Calibration</t>
  </si>
  <si>
    <t>pH cal buffers (4.0 &amp; 7.0)</t>
  </si>
  <si>
    <t>EC cal standard (1413 uS/cm)</t>
  </si>
  <si>
    <t>pH probe storage solution (KCl)</t>
  </si>
  <si>
    <t>Bench</t>
  </si>
  <si>
    <t>Tools</t>
  </si>
  <si>
    <t>Soldering iron + solder</t>
  </si>
  <si>
    <t>—</t>
  </si>
  <si>
    <t>Default off; skip anything you own.</t>
  </si>
  <si>
    <t>Wire strippers</t>
  </si>
  <si>
    <t>Heat-shrink assortment</t>
  </si>
  <si>
    <t>Multimeter</t>
  </si>
  <si>
    <t>Logic analyzer (Saleae clone)</t>
  </si>
  <si>
    <t>Handy for I2C/SPI debug; Nucleo VCP covers most serial.</t>
  </si>
  <si>
    <t>Bought</t>
  </si>
  <si>
    <t>DFR</t>
  </si>
  <si>
    <t>Home Depot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</si>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</sst>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u/>
      <sz val="9"/>
      <color rgb="FF0563C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6DCE4"/>
      </patternFill>
    </fill>
    <fill>
      <patternFill patternType="solid">
        <fgColor rgb="FFE2EFDA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E1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6DCE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6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horizontal="center" vertical="top" wrapText="1"/>
    </xf>
    <xf numFmtId="1" fontId="4" fillId="5" borderId="1" xfId="0" applyNumberFormat="1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1" fontId="5" fillId="4" borderId="1" xfId="0" applyNumberFormat="1" applyFont="1" applyFill="1" applyBorder="1" applyAlignment="1">
      <alignment horizontal="center" vertical="top" wrapText="1"/>
    </xf>
    <xf numFmtId="164" fontId="5" fillId="4" borderId="1" xfId="0" applyNumberFormat="1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1" fontId="5" fillId="6" borderId="1" xfId="0" applyNumberFormat="1" applyFont="1" applyFill="1" applyBorder="1" applyAlignment="1">
      <alignment horizontal="center" vertical="top" wrapText="1"/>
    </xf>
    <xf numFmtId="164" fontId="5" fillId="6" borderId="1" xfId="0" applyNumberFormat="1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1" fontId="5" fillId="7" borderId="1" xfId="0" applyNumberFormat="1" applyFont="1" applyFill="1" applyBorder="1" applyAlignment="1">
      <alignment horizontal="center" vertical="top" wrapText="1"/>
    </xf>
    <xf numFmtId="164" fontId="5" fillId="7" borderId="1" xfId="0" applyNumberFormat="1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vertical="top" wrapText="1"/>
    </xf>
    <xf numFmtId="1" fontId="5" fillId="8" borderId="1" xfId="0" applyNumberFormat="1" applyFont="1" applyFill="1" applyBorder="1" applyAlignment="1">
      <alignment horizontal="center" vertical="top" wrapText="1"/>
    </xf>
    <xf numFmtId="164" fontId="5" fillId="8" borderId="1" xfId="0" applyNumberFormat="1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vertical="top" wrapText="1"/>
    </xf>
    <xf numFmtId="1" fontId="5" fillId="9" borderId="1" xfId="0" applyNumberFormat="1" applyFont="1" applyFill="1" applyBorder="1" applyAlignment="1">
      <alignment horizontal="center" vertical="top" wrapText="1"/>
    </xf>
    <xf numFmtId="164" fontId="5" fillId="9" borderId="1" xfId="0" applyNumberFormat="1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vertical="top" wrapText="1"/>
    </xf>
    <xf numFmtId="1" fontId="5" fillId="10" borderId="1" xfId="0" applyNumberFormat="1" applyFont="1" applyFill="1" applyBorder="1" applyAlignment="1">
      <alignment horizontal="center" vertical="top" wrapText="1"/>
    </xf>
    <xf numFmtId="164" fontId="5" fillId="10" borderId="1" xfId="0" applyNumberFormat="1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699"/>
      <rgbColor rgb="FFE4DFEC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MASTERBLEND-4-18-38-Complete-Combo-Fertilizer/dp/B071L15G5Y" TargetMode="External"/><Relationship Id="rId3" Type="http://schemas.openxmlformats.org/officeDocument/2006/relationships/hyperlink" Target="https://www.dfrobot.com/topic-282.html" TargetMode="External"/><Relationship Id="rId7" Type="http://schemas.openxmlformats.org/officeDocument/2006/relationships/hyperlink" Target="https://www.digikey.com/en/products/detail/stmicroelectronics/NUCLEO-WB55RG/13684823" TargetMode="External"/><Relationship Id="rId2" Type="http://schemas.openxmlformats.org/officeDocument/2006/relationships/hyperlink" Target="https://www.digikey.com/en/products/detail/dfrobot/SEN0161-V2/9608223" TargetMode="External"/><Relationship Id="rId1" Type="http://schemas.openxmlformats.org/officeDocument/2006/relationships/hyperlink" Target="https://estore.st.com/en/nucleo-f446re-cpn.html" TargetMode="External"/><Relationship Id="rId6" Type="http://schemas.openxmlformats.org/officeDocument/2006/relationships/hyperlink" Target="https://www.amazon.com/Kamoer-Peristaltic-Hydroponics-Nutrient-Analytical/dp/B07GWJ78FN" TargetMode="External"/><Relationship Id="rId5" Type="http://schemas.openxmlformats.org/officeDocument/2006/relationships/hyperlink" Target="https://atlas-scientific.com/kits/conductivity-k-1-0-kit/" TargetMode="External"/><Relationship Id="rId4" Type="http://schemas.openxmlformats.org/officeDocument/2006/relationships/hyperlink" Target="https://atlas-scientific.com/kits/ph-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tabSelected="1" zoomScaleNormal="100" workbookViewId="0">
      <selection activeCell="G17" sqref="G17"/>
    </sheetView>
  </sheetViews>
  <sheetFormatPr baseColWidth="10" defaultColWidth="8.6640625" defaultRowHeight="15" x14ac:dyDescent="0.2"/>
  <cols>
    <col min="2" max="2" width="40" customWidth="1"/>
    <col min="3" max="3" width="14" customWidth="1"/>
    <col min="4" max="4" width="4" customWidth="1"/>
    <col min="5" max="5" width="40" customWidth="1"/>
  </cols>
  <sheetData>
    <row r="1" spans="2:6" ht="19.75" customHeight="1" x14ac:dyDescent="0.2">
      <c r="B1" s="4" t="s">
        <v>0</v>
      </c>
      <c r="C1" s="4"/>
      <c r="D1" s="4"/>
      <c r="E1" s="4"/>
    </row>
    <row r="2" spans="2:6" ht="15" customHeight="1" x14ac:dyDescent="0.2">
      <c r="B2" s="3" t="s">
        <v>1</v>
      </c>
      <c r="C2" s="3"/>
      <c r="D2" s="3"/>
      <c r="E2" s="3"/>
    </row>
    <row r="3" spans="2:6" x14ac:dyDescent="0.2">
      <c r="B3" s="5"/>
      <c r="C3" s="5"/>
      <c r="D3" s="5"/>
      <c r="E3" s="5"/>
    </row>
    <row r="4" spans="2:6" x14ac:dyDescent="0.2">
      <c r="B4" s="6" t="s">
        <v>2</v>
      </c>
      <c r="C4" s="5"/>
      <c r="D4" s="5"/>
      <c r="E4" s="5"/>
    </row>
    <row r="5" spans="2:6" ht="23.75" customHeight="1" x14ac:dyDescent="0.2">
      <c r="B5" s="2" t="s">
        <v>3</v>
      </c>
      <c r="C5" s="2"/>
      <c r="D5" s="2"/>
      <c r="E5" s="2"/>
    </row>
    <row r="6" spans="2:6" ht="27" customHeight="1" x14ac:dyDescent="0.2">
      <c r="B6" s="2" t="s">
        <v>4</v>
      </c>
      <c r="C6" s="2"/>
      <c r="D6" s="2"/>
      <c r="E6" s="2"/>
    </row>
    <row r="7" spans="2:6" x14ac:dyDescent="0.2">
      <c r="B7" s="5"/>
      <c r="C7" s="5"/>
      <c r="D7" s="5"/>
      <c r="E7" s="5"/>
    </row>
    <row r="8" spans="2:6" ht="15" customHeight="1" x14ac:dyDescent="0.2">
      <c r="B8" s="1" t="s">
        <v>5</v>
      </c>
      <c r="C8" s="1"/>
      <c r="D8" s="5"/>
      <c r="E8" s="5"/>
    </row>
    <row r="9" spans="2:6" ht="16" x14ac:dyDescent="0.2">
      <c r="B9" s="7" t="s">
        <v>6</v>
      </c>
      <c r="C9" s="7" t="s">
        <v>7</v>
      </c>
      <c r="D9" s="5"/>
      <c r="E9" s="5" t="s">
        <v>160</v>
      </c>
    </row>
    <row r="10" spans="2:6" ht="16" x14ac:dyDescent="0.2">
      <c r="B10" s="8" t="s">
        <v>8</v>
      </c>
      <c r="C10" s="9">
        <f>SUMIFS(BOM!$H$2:$H$53,BOM!$A$2:$A$53,"V1")</f>
        <v>147</v>
      </c>
      <c r="D10" s="5"/>
      <c r="E10" s="5" t="s">
        <v>35</v>
      </c>
      <c r="F10">
        <v>400</v>
      </c>
    </row>
    <row r="11" spans="2:6" ht="16" x14ac:dyDescent="0.2">
      <c r="B11" s="8" t="s">
        <v>9</v>
      </c>
      <c r="C11" s="9">
        <f>SUMIFS(BOM!$H$2:$H$53,BOM!$A$2:$A$53,"V1.5")</f>
        <v>237.4</v>
      </c>
      <c r="D11" s="5"/>
      <c r="E11" s="5" t="s">
        <v>161</v>
      </c>
      <c r="F11">
        <v>110</v>
      </c>
    </row>
    <row r="12" spans="2:6" ht="16" x14ac:dyDescent="0.2">
      <c r="B12" s="8" t="s">
        <v>10</v>
      </c>
      <c r="C12" s="9">
        <f>SUMIFS(BOM!$H$2:$H$53,BOM!$A$2:$A$53,"V2")</f>
        <v>44</v>
      </c>
      <c r="D12" s="5"/>
      <c r="E12" s="5" t="s">
        <v>162</v>
      </c>
      <c r="F12">
        <v>140</v>
      </c>
    </row>
    <row r="13" spans="2:6" x14ac:dyDescent="0.2">
      <c r="B13" s="8" t="s">
        <v>11</v>
      </c>
      <c r="C13" s="9">
        <f>SUMIFS(BOM!$H$2:$H$53,BOM!$A$2:$A$53,"V3")</f>
        <v>0</v>
      </c>
      <c r="D13" s="5"/>
      <c r="E13" s="5"/>
    </row>
    <row r="14" spans="2:6" x14ac:dyDescent="0.2">
      <c r="B14" s="8" t="s">
        <v>12</v>
      </c>
      <c r="C14" s="9">
        <f>SUMIFS(BOM!$H$2:$H$53,BOM!$A$2:$A$53,"Mech")</f>
        <v>92</v>
      </c>
      <c r="D14" s="5"/>
      <c r="E14" s="5"/>
    </row>
    <row r="15" spans="2:6" x14ac:dyDescent="0.2">
      <c r="B15" s="8" t="s">
        <v>13</v>
      </c>
      <c r="C15" s="9">
        <f>SUMIFS(BOM!$H$2:$H$53,BOM!$A$2:$A$53,"Consum")</f>
        <v>81</v>
      </c>
      <c r="D15" s="5"/>
      <c r="E15" s="5"/>
    </row>
    <row r="16" spans="2:6" x14ac:dyDescent="0.2">
      <c r="B16" s="8" t="s">
        <v>14</v>
      </c>
      <c r="C16" s="9">
        <f>SUMIFS(BOM!$H$2:$H$53,BOM!$A$2:$A$53,"Bench")</f>
        <v>0</v>
      </c>
      <c r="D16" s="5"/>
      <c r="E16" s="5"/>
    </row>
    <row r="17" spans="2:6" ht="16" x14ac:dyDescent="0.2">
      <c r="B17" s="10" t="s">
        <v>15</v>
      </c>
      <c r="C17" s="11">
        <f>SUM(BOM!$H$2:$H$53)</f>
        <v>601.4</v>
      </c>
      <c r="D17" s="5"/>
      <c r="E17" s="5" t="s">
        <v>163</v>
      </c>
      <c r="F17">
        <f>SUM(F10:F16)</f>
        <v>650</v>
      </c>
    </row>
    <row r="18" spans="2:6" x14ac:dyDescent="0.2">
      <c r="B18" s="5"/>
      <c r="C18" s="5"/>
      <c r="D18" s="5"/>
      <c r="E18" s="5"/>
    </row>
    <row r="19" spans="2:6" ht="23.75" customHeight="1" x14ac:dyDescent="0.2">
      <c r="B19" s="3" t="s">
        <v>16</v>
      </c>
      <c r="C19" s="3"/>
      <c r="D19" s="3"/>
      <c r="E19" s="3"/>
    </row>
    <row r="20" spans="2:6" ht="23.75" customHeight="1" x14ac:dyDescent="0.2">
      <c r="B20" s="3" t="s">
        <v>17</v>
      </c>
      <c r="C20" s="3"/>
      <c r="D20" s="3"/>
      <c r="E20" s="3"/>
    </row>
  </sheetData>
  <mergeCells count="7">
    <mergeCell ref="B19:E19"/>
    <mergeCell ref="B20:E20"/>
    <mergeCell ref="B1:E1"/>
    <mergeCell ref="B2:E2"/>
    <mergeCell ref="B5:E5"/>
    <mergeCell ref="B6:E6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zoomScaleNormal="100" workbookViewId="0">
      <pane ySplit="1" topLeftCell="A44" activePane="bottomLeft" state="frozen"/>
      <selection pane="bottomLeft" activeCell="D40" sqref="D40"/>
    </sheetView>
  </sheetViews>
  <sheetFormatPr baseColWidth="10" defaultColWidth="8.6640625" defaultRowHeight="15" x14ac:dyDescent="0.2"/>
  <cols>
    <col min="1" max="1" width="8" customWidth="1"/>
    <col min="2" max="2" width="24" customWidth="1"/>
    <col min="3" max="3" width="42" customWidth="1"/>
    <col min="4" max="4" width="11.83203125" bestFit="1" customWidth="1"/>
    <col min="5" max="5" width="6" customWidth="1"/>
    <col min="6" max="6" width="11" customWidth="1"/>
    <col min="7" max="7" width="9" customWidth="1"/>
    <col min="8" max="8" width="12" customWidth="1"/>
    <col min="9" max="9" width="20" customWidth="1"/>
    <col min="10" max="10" width="34" customWidth="1"/>
    <col min="11" max="11" width="60" customWidth="1"/>
  </cols>
  <sheetData>
    <row r="1" spans="1:11" x14ac:dyDescent="0.2">
      <c r="A1" s="12" t="s">
        <v>18</v>
      </c>
      <c r="B1" s="12" t="s">
        <v>19</v>
      </c>
      <c r="C1" s="12" t="s">
        <v>20</v>
      </c>
      <c r="D1" s="12" t="s">
        <v>160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</row>
    <row r="2" spans="1:11" ht="28" x14ac:dyDescent="0.2">
      <c r="A2" s="13" t="s">
        <v>28</v>
      </c>
      <c r="B2" s="13" t="s">
        <v>29</v>
      </c>
      <c r="C2" s="52" t="s">
        <v>30</v>
      </c>
      <c r="D2" s="52">
        <v>1</v>
      </c>
      <c r="E2" s="15">
        <v>1</v>
      </c>
      <c r="F2" s="16">
        <v>25</v>
      </c>
      <c r="G2" s="17">
        <v>1</v>
      </c>
      <c r="H2" s="16">
        <f>E2*F2*G2</f>
        <v>25</v>
      </c>
      <c r="I2" s="14" t="s">
        <v>31</v>
      </c>
      <c r="J2" s="18" t="s">
        <v>32</v>
      </c>
      <c r="K2" s="14" t="s">
        <v>33</v>
      </c>
    </row>
    <row r="3" spans="1:11" x14ac:dyDescent="0.2">
      <c r="A3" s="13" t="s">
        <v>28</v>
      </c>
      <c r="B3" s="13" t="s">
        <v>29</v>
      </c>
      <c r="C3" s="14" t="s">
        <v>34</v>
      </c>
      <c r="D3" s="14"/>
      <c r="E3" s="15">
        <v>1</v>
      </c>
      <c r="F3" s="16">
        <v>6</v>
      </c>
      <c r="G3" s="17">
        <v>1</v>
      </c>
      <c r="H3" s="16">
        <f t="shared" ref="H3:H33" si="0">E3*F3*G3</f>
        <v>6</v>
      </c>
      <c r="I3" s="14" t="s">
        <v>35</v>
      </c>
      <c r="J3" s="19"/>
      <c r="K3" s="14" t="s">
        <v>36</v>
      </c>
    </row>
    <row r="4" spans="1:11" x14ac:dyDescent="0.2">
      <c r="A4" s="13" t="s">
        <v>28</v>
      </c>
      <c r="B4" s="13" t="s">
        <v>29</v>
      </c>
      <c r="C4" s="14" t="s">
        <v>37</v>
      </c>
      <c r="D4" s="14"/>
      <c r="E4" s="15">
        <v>2</v>
      </c>
      <c r="F4" s="16">
        <v>6</v>
      </c>
      <c r="G4" s="17">
        <v>1</v>
      </c>
      <c r="H4" s="16">
        <f t="shared" si="0"/>
        <v>12</v>
      </c>
      <c r="I4" s="14" t="s">
        <v>35</v>
      </c>
      <c r="J4" s="19"/>
      <c r="K4" s="14"/>
    </row>
    <row r="5" spans="1:11" x14ac:dyDescent="0.2">
      <c r="A5" s="13" t="s">
        <v>28</v>
      </c>
      <c r="B5" s="13" t="s">
        <v>29</v>
      </c>
      <c r="C5" s="14" t="s">
        <v>38</v>
      </c>
      <c r="D5" s="14"/>
      <c r="E5" s="15">
        <v>1</v>
      </c>
      <c r="F5" s="16">
        <v>7</v>
      </c>
      <c r="G5" s="17">
        <v>1</v>
      </c>
      <c r="H5" s="16">
        <f t="shared" si="0"/>
        <v>7</v>
      </c>
      <c r="I5" s="14" t="s">
        <v>35</v>
      </c>
      <c r="J5" s="19"/>
      <c r="K5" s="14"/>
    </row>
    <row r="6" spans="1:11" x14ac:dyDescent="0.2">
      <c r="A6" s="13" t="s">
        <v>28</v>
      </c>
      <c r="B6" s="13" t="s">
        <v>29</v>
      </c>
      <c r="C6" s="14" t="s">
        <v>39</v>
      </c>
      <c r="D6" s="14">
        <v>1</v>
      </c>
      <c r="E6" s="15">
        <v>1</v>
      </c>
      <c r="F6" s="16">
        <v>10</v>
      </c>
      <c r="G6" s="17">
        <v>1</v>
      </c>
      <c r="H6" s="16">
        <f t="shared" si="0"/>
        <v>10</v>
      </c>
      <c r="I6" s="14" t="s">
        <v>35</v>
      </c>
      <c r="J6" s="19"/>
      <c r="K6" s="14" t="s">
        <v>40</v>
      </c>
    </row>
    <row r="7" spans="1:11" x14ac:dyDescent="0.2">
      <c r="A7" s="13" t="s">
        <v>28</v>
      </c>
      <c r="B7" s="13" t="s">
        <v>29</v>
      </c>
      <c r="C7" s="14" t="s">
        <v>41</v>
      </c>
      <c r="D7" s="14">
        <v>1</v>
      </c>
      <c r="E7" s="15">
        <v>1</v>
      </c>
      <c r="F7" s="16">
        <v>7</v>
      </c>
      <c r="G7" s="17">
        <v>1</v>
      </c>
      <c r="H7" s="16">
        <f t="shared" si="0"/>
        <v>7</v>
      </c>
      <c r="I7" s="14" t="s">
        <v>35</v>
      </c>
      <c r="J7" s="19"/>
      <c r="K7" s="14"/>
    </row>
    <row r="8" spans="1:11" x14ac:dyDescent="0.2">
      <c r="A8" s="13" t="s">
        <v>28</v>
      </c>
      <c r="B8" s="13" t="s">
        <v>29</v>
      </c>
      <c r="C8" s="14" t="s">
        <v>42</v>
      </c>
      <c r="D8" s="14">
        <v>1</v>
      </c>
      <c r="E8" s="15">
        <v>1</v>
      </c>
      <c r="F8" s="16">
        <v>9</v>
      </c>
      <c r="G8" s="17">
        <v>1</v>
      </c>
      <c r="H8" s="16">
        <f t="shared" si="0"/>
        <v>9</v>
      </c>
      <c r="I8" s="14" t="s">
        <v>35</v>
      </c>
      <c r="J8" s="19"/>
      <c r="K8" s="14"/>
    </row>
    <row r="9" spans="1:11" x14ac:dyDescent="0.2">
      <c r="A9" s="13" t="s">
        <v>28</v>
      </c>
      <c r="B9" s="13" t="s">
        <v>43</v>
      </c>
      <c r="C9" s="52" t="s">
        <v>44</v>
      </c>
      <c r="D9" s="52">
        <v>1</v>
      </c>
      <c r="E9" s="15">
        <v>1</v>
      </c>
      <c r="F9" s="16">
        <v>9</v>
      </c>
      <c r="G9" s="17">
        <v>1</v>
      </c>
      <c r="H9" s="16">
        <f t="shared" si="0"/>
        <v>9</v>
      </c>
      <c r="I9" s="14" t="s">
        <v>35</v>
      </c>
      <c r="J9" s="19"/>
      <c r="K9" s="14" t="s">
        <v>45</v>
      </c>
    </row>
    <row r="10" spans="1:11" x14ac:dyDescent="0.2">
      <c r="A10" s="13" t="s">
        <v>28</v>
      </c>
      <c r="B10" s="13" t="s">
        <v>43</v>
      </c>
      <c r="C10" s="52" t="s">
        <v>46</v>
      </c>
      <c r="D10" s="52">
        <v>1</v>
      </c>
      <c r="E10" s="15">
        <v>1</v>
      </c>
      <c r="F10" s="16">
        <v>8</v>
      </c>
      <c r="G10" s="17">
        <v>1</v>
      </c>
      <c r="H10" s="16">
        <f t="shared" si="0"/>
        <v>8</v>
      </c>
      <c r="I10" s="14" t="s">
        <v>35</v>
      </c>
      <c r="J10" s="19"/>
      <c r="K10" s="14" t="s">
        <v>47</v>
      </c>
    </row>
    <row r="11" spans="1:11" x14ac:dyDescent="0.2">
      <c r="A11" s="13" t="s">
        <v>28</v>
      </c>
      <c r="B11" s="13" t="s">
        <v>43</v>
      </c>
      <c r="C11" s="14" t="s">
        <v>48</v>
      </c>
      <c r="D11" s="14">
        <v>1</v>
      </c>
      <c r="E11" s="15">
        <v>1</v>
      </c>
      <c r="F11" s="16">
        <v>7</v>
      </c>
      <c r="G11" s="17">
        <v>1</v>
      </c>
      <c r="H11" s="16">
        <f t="shared" si="0"/>
        <v>7</v>
      </c>
      <c r="I11" s="14" t="s">
        <v>35</v>
      </c>
      <c r="J11" s="19"/>
      <c r="K11" s="14" t="s">
        <v>49</v>
      </c>
    </row>
    <row r="12" spans="1:11" x14ac:dyDescent="0.2">
      <c r="A12" s="13" t="s">
        <v>28</v>
      </c>
      <c r="B12" s="13" t="s">
        <v>43</v>
      </c>
      <c r="C12" s="14" t="s">
        <v>50</v>
      </c>
      <c r="D12" s="14">
        <v>1</v>
      </c>
      <c r="E12" s="15">
        <v>1</v>
      </c>
      <c r="F12" s="16">
        <v>10</v>
      </c>
      <c r="G12" s="17">
        <v>1</v>
      </c>
      <c r="H12" s="16">
        <f t="shared" si="0"/>
        <v>10</v>
      </c>
      <c r="I12" s="14" t="s">
        <v>35</v>
      </c>
      <c r="J12" s="19"/>
      <c r="K12" s="14" t="s">
        <v>51</v>
      </c>
    </row>
    <row r="13" spans="1:11" x14ac:dyDescent="0.2">
      <c r="A13" s="13" t="s">
        <v>28</v>
      </c>
      <c r="B13" s="13" t="s">
        <v>43</v>
      </c>
      <c r="C13" s="14" t="s">
        <v>52</v>
      </c>
      <c r="D13" s="14">
        <v>1</v>
      </c>
      <c r="E13" s="15">
        <v>1</v>
      </c>
      <c r="F13" s="16">
        <v>12</v>
      </c>
      <c r="G13" s="17">
        <v>1</v>
      </c>
      <c r="H13" s="16">
        <f t="shared" si="0"/>
        <v>12</v>
      </c>
      <c r="I13" s="14" t="s">
        <v>35</v>
      </c>
      <c r="J13" s="19"/>
      <c r="K13" s="14"/>
    </row>
    <row r="14" spans="1:11" x14ac:dyDescent="0.2">
      <c r="A14" s="13" t="s">
        <v>28</v>
      </c>
      <c r="B14" s="13" t="s">
        <v>53</v>
      </c>
      <c r="C14" s="14" t="s">
        <v>54</v>
      </c>
      <c r="D14" s="14">
        <v>1</v>
      </c>
      <c r="E14" s="15">
        <v>1</v>
      </c>
      <c r="F14" s="16">
        <v>16</v>
      </c>
      <c r="G14" s="17">
        <v>1</v>
      </c>
      <c r="H14" s="16">
        <f t="shared" si="0"/>
        <v>16</v>
      </c>
      <c r="I14" s="14" t="s">
        <v>35</v>
      </c>
      <c r="J14" s="19"/>
      <c r="K14" s="14" t="s">
        <v>55</v>
      </c>
    </row>
    <row r="15" spans="1:11" x14ac:dyDescent="0.2">
      <c r="A15" s="13" t="s">
        <v>28</v>
      </c>
      <c r="B15" s="13" t="s">
        <v>53</v>
      </c>
      <c r="C15" s="14" t="s">
        <v>56</v>
      </c>
      <c r="D15" s="14">
        <v>1</v>
      </c>
      <c r="E15" s="15">
        <v>1</v>
      </c>
      <c r="F15" s="16">
        <v>9</v>
      </c>
      <c r="G15" s="17">
        <v>1</v>
      </c>
      <c r="H15" s="16">
        <f t="shared" si="0"/>
        <v>9</v>
      </c>
      <c r="I15" s="14" t="s">
        <v>35</v>
      </c>
      <c r="J15" s="19"/>
      <c r="K15" s="14" t="s">
        <v>57</v>
      </c>
    </row>
    <row r="16" spans="1:11" ht="28" x14ac:dyDescent="0.2">
      <c r="A16" s="13" t="s">
        <v>28</v>
      </c>
      <c r="B16" s="13" t="s">
        <v>53</v>
      </c>
      <c r="C16" s="14" t="s">
        <v>58</v>
      </c>
      <c r="D16" s="14"/>
      <c r="E16" s="15">
        <v>1</v>
      </c>
      <c r="F16" s="16">
        <v>12</v>
      </c>
      <c r="G16" s="17">
        <v>0</v>
      </c>
      <c r="H16" s="16">
        <f t="shared" si="0"/>
        <v>0</v>
      </c>
      <c r="I16" s="14" t="s">
        <v>35</v>
      </c>
      <c r="J16" s="19"/>
      <c r="K16" s="14" t="s">
        <v>59</v>
      </c>
    </row>
    <row r="17" spans="1:11" ht="26" x14ac:dyDescent="0.2">
      <c r="A17" s="20" t="s">
        <v>60</v>
      </c>
      <c r="B17" s="20" t="s">
        <v>61</v>
      </c>
      <c r="C17" s="53" t="s">
        <v>62</v>
      </c>
      <c r="D17" s="53">
        <v>1</v>
      </c>
      <c r="E17" s="22">
        <v>1</v>
      </c>
      <c r="F17" s="23">
        <v>39.5</v>
      </c>
      <c r="G17" s="17">
        <v>1</v>
      </c>
      <c r="H17" s="23">
        <f t="shared" si="0"/>
        <v>39.5</v>
      </c>
      <c r="I17" s="21" t="s">
        <v>63</v>
      </c>
      <c r="J17" s="24" t="s">
        <v>64</v>
      </c>
      <c r="K17" s="21" t="s">
        <v>65</v>
      </c>
    </row>
    <row r="18" spans="1:11" x14ac:dyDescent="0.2">
      <c r="A18" s="20" t="s">
        <v>60</v>
      </c>
      <c r="B18" s="20" t="s">
        <v>61</v>
      </c>
      <c r="C18" s="53" t="s">
        <v>66</v>
      </c>
      <c r="D18" s="53">
        <v>1</v>
      </c>
      <c r="E18" s="22">
        <v>1</v>
      </c>
      <c r="F18" s="23">
        <v>69.900000000000006</v>
      </c>
      <c r="G18" s="17">
        <v>1</v>
      </c>
      <c r="H18" s="23">
        <f t="shared" si="0"/>
        <v>69.900000000000006</v>
      </c>
      <c r="I18" s="21" t="s">
        <v>67</v>
      </c>
      <c r="J18" s="24" t="s">
        <v>68</v>
      </c>
      <c r="K18" s="21" t="s">
        <v>69</v>
      </c>
    </row>
    <row r="19" spans="1:11" x14ac:dyDescent="0.2">
      <c r="A19" s="20" t="s">
        <v>60</v>
      </c>
      <c r="B19" s="20" t="s">
        <v>61</v>
      </c>
      <c r="C19" s="53" t="s">
        <v>70</v>
      </c>
      <c r="D19" s="53">
        <v>1</v>
      </c>
      <c r="E19" s="22">
        <v>1</v>
      </c>
      <c r="F19" s="23">
        <v>9</v>
      </c>
      <c r="G19" s="17">
        <v>1</v>
      </c>
      <c r="H19" s="23">
        <f t="shared" si="0"/>
        <v>9</v>
      </c>
      <c r="I19" s="21" t="s">
        <v>71</v>
      </c>
      <c r="J19" s="25"/>
      <c r="K19" s="21" t="s">
        <v>72</v>
      </c>
    </row>
    <row r="20" spans="1:11" x14ac:dyDescent="0.2">
      <c r="A20" s="20" t="s">
        <v>60</v>
      </c>
      <c r="B20" s="20" t="s">
        <v>61</v>
      </c>
      <c r="C20" s="21" t="s">
        <v>73</v>
      </c>
      <c r="D20" s="21">
        <v>1</v>
      </c>
      <c r="E20" s="22">
        <v>1</v>
      </c>
      <c r="F20" s="23">
        <v>8</v>
      </c>
      <c r="G20" s="17">
        <v>1</v>
      </c>
      <c r="H20" s="23">
        <f t="shared" si="0"/>
        <v>8</v>
      </c>
      <c r="I20" s="21" t="s">
        <v>35</v>
      </c>
      <c r="J20" s="25"/>
      <c r="K20" s="21" t="s">
        <v>74</v>
      </c>
    </row>
    <row r="21" spans="1:11" x14ac:dyDescent="0.2">
      <c r="A21" s="20" t="s">
        <v>60</v>
      </c>
      <c r="B21" s="20" t="s">
        <v>61</v>
      </c>
      <c r="C21" s="21" t="s">
        <v>75</v>
      </c>
      <c r="D21" s="21"/>
      <c r="E21" s="22">
        <v>1</v>
      </c>
      <c r="F21" s="23">
        <v>11</v>
      </c>
      <c r="G21" s="17">
        <v>0</v>
      </c>
      <c r="H21" s="23">
        <f t="shared" si="0"/>
        <v>0</v>
      </c>
      <c r="I21" s="21" t="s">
        <v>35</v>
      </c>
      <c r="J21" s="25"/>
      <c r="K21" s="21" t="s">
        <v>76</v>
      </c>
    </row>
    <row r="22" spans="1:11" ht="28" x14ac:dyDescent="0.2">
      <c r="A22" s="20" t="s">
        <v>60</v>
      </c>
      <c r="B22" s="20" t="s">
        <v>77</v>
      </c>
      <c r="C22" s="21" t="s">
        <v>78</v>
      </c>
      <c r="D22" s="21"/>
      <c r="E22" s="22">
        <v>1</v>
      </c>
      <c r="F22" s="23">
        <v>175</v>
      </c>
      <c r="G22" s="17">
        <v>0</v>
      </c>
      <c r="H22" s="23">
        <f t="shared" si="0"/>
        <v>0</v>
      </c>
      <c r="I22" s="21" t="s">
        <v>79</v>
      </c>
      <c r="J22" s="24" t="s">
        <v>80</v>
      </c>
      <c r="K22" s="21" t="s">
        <v>81</v>
      </c>
    </row>
    <row r="23" spans="1:11" ht="28" x14ac:dyDescent="0.2">
      <c r="A23" s="20" t="s">
        <v>60</v>
      </c>
      <c r="B23" s="20" t="s">
        <v>77</v>
      </c>
      <c r="C23" s="21" t="s">
        <v>82</v>
      </c>
      <c r="D23" s="21"/>
      <c r="E23" s="22">
        <v>1</v>
      </c>
      <c r="F23" s="23">
        <v>229.99</v>
      </c>
      <c r="G23" s="17">
        <v>0</v>
      </c>
      <c r="H23" s="23">
        <f t="shared" si="0"/>
        <v>0</v>
      </c>
      <c r="I23" s="21" t="s">
        <v>79</v>
      </c>
      <c r="J23" s="24" t="s">
        <v>83</v>
      </c>
      <c r="K23" s="21" t="s">
        <v>84</v>
      </c>
    </row>
    <row r="24" spans="1:11" ht="39" x14ac:dyDescent="0.2">
      <c r="A24" s="20" t="s">
        <v>60</v>
      </c>
      <c r="B24" s="20" t="s">
        <v>85</v>
      </c>
      <c r="C24" s="21" t="s">
        <v>86</v>
      </c>
      <c r="D24" s="21">
        <v>1</v>
      </c>
      <c r="E24" s="22">
        <v>4</v>
      </c>
      <c r="F24" s="23">
        <v>18</v>
      </c>
      <c r="G24" s="17">
        <v>1</v>
      </c>
      <c r="H24" s="23">
        <f t="shared" si="0"/>
        <v>72</v>
      </c>
      <c r="I24" s="21" t="s">
        <v>35</v>
      </c>
      <c r="J24" s="24" t="s">
        <v>87</v>
      </c>
      <c r="K24" s="21" t="s">
        <v>88</v>
      </c>
    </row>
    <row r="25" spans="1:11" x14ac:dyDescent="0.2">
      <c r="A25" s="20" t="s">
        <v>60</v>
      </c>
      <c r="B25" s="20" t="s">
        <v>85</v>
      </c>
      <c r="C25" s="21" t="s">
        <v>89</v>
      </c>
      <c r="D25" s="21">
        <v>1</v>
      </c>
      <c r="E25" s="22">
        <v>1</v>
      </c>
      <c r="F25" s="23">
        <v>9</v>
      </c>
      <c r="G25" s="17">
        <v>1</v>
      </c>
      <c r="H25" s="23">
        <f t="shared" si="0"/>
        <v>9</v>
      </c>
      <c r="I25" s="21" t="s">
        <v>35</v>
      </c>
      <c r="J25" s="25"/>
      <c r="K25" s="21"/>
    </row>
    <row r="26" spans="1:11" x14ac:dyDescent="0.2">
      <c r="A26" s="20" t="s">
        <v>60</v>
      </c>
      <c r="B26" s="20" t="s">
        <v>85</v>
      </c>
      <c r="C26" s="21" t="s">
        <v>90</v>
      </c>
      <c r="D26" s="21">
        <v>1</v>
      </c>
      <c r="E26" s="22">
        <v>4</v>
      </c>
      <c r="F26" s="23">
        <v>2.5</v>
      </c>
      <c r="G26" s="17">
        <v>1</v>
      </c>
      <c r="H26" s="23">
        <f t="shared" si="0"/>
        <v>10</v>
      </c>
      <c r="I26" s="21" t="s">
        <v>35</v>
      </c>
      <c r="J26" s="25"/>
      <c r="K26" s="21" t="s">
        <v>91</v>
      </c>
    </row>
    <row r="27" spans="1:11" x14ac:dyDescent="0.2">
      <c r="A27" s="20" t="s">
        <v>60</v>
      </c>
      <c r="B27" s="20" t="s">
        <v>92</v>
      </c>
      <c r="C27" s="21" t="s">
        <v>93</v>
      </c>
      <c r="D27" s="21">
        <v>1</v>
      </c>
      <c r="E27" s="22">
        <v>1</v>
      </c>
      <c r="F27" s="23">
        <v>12</v>
      </c>
      <c r="G27" s="17">
        <v>1</v>
      </c>
      <c r="H27" s="23">
        <f t="shared" si="0"/>
        <v>12</v>
      </c>
      <c r="I27" s="21" t="s">
        <v>35</v>
      </c>
      <c r="J27" s="25"/>
      <c r="K27" s="21" t="s">
        <v>94</v>
      </c>
    </row>
    <row r="28" spans="1:11" x14ac:dyDescent="0.2">
      <c r="A28" s="20" t="s">
        <v>60</v>
      </c>
      <c r="B28" s="20" t="s">
        <v>92</v>
      </c>
      <c r="C28" s="21" t="s">
        <v>95</v>
      </c>
      <c r="D28" s="21"/>
      <c r="E28" s="22">
        <v>1</v>
      </c>
      <c r="F28" s="23">
        <v>8</v>
      </c>
      <c r="G28" s="17">
        <v>1</v>
      </c>
      <c r="H28" s="23">
        <f t="shared" si="0"/>
        <v>8</v>
      </c>
      <c r="I28" s="21" t="s">
        <v>35</v>
      </c>
      <c r="J28" s="25"/>
      <c r="K28" s="21"/>
    </row>
    <row r="29" spans="1:11" x14ac:dyDescent="0.2">
      <c r="A29" s="20" t="s">
        <v>60</v>
      </c>
      <c r="B29" s="20" t="s">
        <v>85</v>
      </c>
      <c r="C29" s="21" t="s">
        <v>96</v>
      </c>
      <c r="D29" s="21"/>
      <c r="E29" s="22">
        <v>1</v>
      </c>
      <c r="F29" s="23">
        <v>12</v>
      </c>
      <c r="G29" s="17">
        <v>0</v>
      </c>
      <c r="H29" s="23">
        <f t="shared" si="0"/>
        <v>0</v>
      </c>
      <c r="I29" s="21" t="s">
        <v>35</v>
      </c>
      <c r="J29" s="25"/>
      <c r="K29" s="21" t="s">
        <v>97</v>
      </c>
    </row>
    <row r="30" spans="1:11" ht="28" x14ac:dyDescent="0.2">
      <c r="A30" s="26" t="s">
        <v>98</v>
      </c>
      <c r="B30" s="26" t="s">
        <v>99</v>
      </c>
      <c r="C30" s="27" t="s">
        <v>100</v>
      </c>
      <c r="D30" s="27"/>
      <c r="E30" s="28">
        <v>1</v>
      </c>
      <c r="F30" s="29">
        <v>14</v>
      </c>
      <c r="G30" s="17">
        <v>1</v>
      </c>
      <c r="H30" s="29">
        <f t="shared" si="0"/>
        <v>14</v>
      </c>
      <c r="I30" s="27" t="s">
        <v>101</v>
      </c>
      <c r="J30" s="30"/>
      <c r="K30" s="27" t="s">
        <v>102</v>
      </c>
    </row>
    <row r="31" spans="1:11" x14ac:dyDescent="0.2">
      <c r="A31" s="26" t="s">
        <v>98</v>
      </c>
      <c r="B31" s="26" t="s">
        <v>99</v>
      </c>
      <c r="C31" s="27" t="s">
        <v>103</v>
      </c>
      <c r="D31" s="27"/>
      <c r="E31" s="28">
        <v>1</v>
      </c>
      <c r="F31" s="29">
        <v>5</v>
      </c>
      <c r="G31" s="17">
        <v>1</v>
      </c>
      <c r="H31" s="29">
        <f t="shared" si="0"/>
        <v>5</v>
      </c>
      <c r="I31" s="27" t="s">
        <v>35</v>
      </c>
      <c r="J31" s="30"/>
      <c r="K31" s="27" t="s">
        <v>104</v>
      </c>
    </row>
    <row r="32" spans="1:11" x14ac:dyDescent="0.2">
      <c r="A32" s="26" t="s">
        <v>98</v>
      </c>
      <c r="B32" s="26" t="s">
        <v>99</v>
      </c>
      <c r="C32" s="27" t="s">
        <v>105</v>
      </c>
      <c r="D32" s="27"/>
      <c r="E32" s="28">
        <v>1</v>
      </c>
      <c r="F32" s="29">
        <v>220</v>
      </c>
      <c r="G32" s="17">
        <v>0</v>
      </c>
      <c r="H32" s="29">
        <f t="shared" si="0"/>
        <v>0</v>
      </c>
      <c r="I32" s="27" t="s">
        <v>106</v>
      </c>
      <c r="J32" s="30"/>
      <c r="K32" s="27" t="s">
        <v>107</v>
      </c>
    </row>
    <row r="33" spans="1:11" x14ac:dyDescent="0.2">
      <c r="A33" s="26" t="s">
        <v>98</v>
      </c>
      <c r="B33" s="26" t="s">
        <v>108</v>
      </c>
      <c r="C33" s="27" t="s">
        <v>109</v>
      </c>
      <c r="D33" s="27"/>
      <c r="E33" s="28">
        <v>1</v>
      </c>
      <c r="F33" s="29">
        <v>25</v>
      </c>
      <c r="G33" s="17">
        <v>1</v>
      </c>
      <c r="H33" s="29">
        <f t="shared" si="0"/>
        <v>25</v>
      </c>
      <c r="I33" s="27" t="s">
        <v>35</v>
      </c>
      <c r="J33" s="30"/>
      <c r="K33" s="27" t="s">
        <v>110</v>
      </c>
    </row>
    <row r="34" spans="1:11" x14ac:dyDescent="0.2">
      <c r="A34" s="26" t="s">
        <v>98</v>
      </c>
      <c r="B34" s="26" t="s">
        <v>108</v>
      </c>
      <c r="C34" s="27" t="s">
        <v>111</v>
      </c>
      <c r="D34" s="27"/>
      <c r="E34" s="28">
        <v>1</v>
      </c>
      <c r="F34" s="29">
        <v>12</v>
      </c>
      <c r="G34" s="17">
        <v>0</v>
      </c>
      <c r="H34" s="29">
        <f t="shared" ref="H34:H65" si="1">E34*F34*G34</f>
        <v>0</v>
      </c>
      <c r="I34" s="27" t="s">
        <v>35</v>
      </c>
      <c r="J34" s="30"/>
      <c r="K34" s="27" t="s">
        <v>112</v>
      </c>
    </row>
    <row r="35" spans="1:11" ht="28" x14ac:dyDescent="0.2">
      <c r="A35" s="31" t="s">
        <v>113</v>
      </c>
      <c r="B35" s="31" t="s">
        <v>114</v>
      </c>
      <c r="C35" s="32" t="s">
        <v>115</v>
      </c>
      <c r="D35" s="32"/>
      <c r="E35" s="33">
        <v>1</v>
      </c>
      <c r="F35" s="34">
        <v>50</v>
      </c>
      <c r="G35" s="17">
        <v>0</v>
      </c>
      <c r="H35" s="34">
        <f t="shared" si="1"/>
        <v>0</v>
      </c>
      <c r="I35" s="32" t="s">
        <v>116</v>
      </c>
      <c r="J35" s="35" t="s">
        <v>117</v>
      </c>
      <c r="K35" s="32" t="s">
        <v>118</v>
      </c>
    </row>
    <row r="36" spans="1:11" x14ac:dyDescent="0.2">
      <c r="A36" s="36" t="s">
        <v>119</v>
      </c>
      <c r="B36" s="36" t="s">
        <v>120</v>
      </c>
      <c r="C36" s="37" t="s">
        <v>121</v>
      </c>
      <c r="D36" s="37">
        <v>1</v>
      </c>
      <c r="E36" s="38">
        <v>1</v>
      </c>
      <c r="F36" s="39">
        <v>12</v>
      </c>
      <c r="G36" s="17">
        <v>1</v>
      </c>
      <c r="H36" s="39">
        <f t="shared" si="1"/>
        <v>12</v>
      </c>
      <c r="I36" s="37" t="s">
        <v>122</v>
      </c>
      <c r="J36" s="40"/>
      <c r="K36" s="37" t="s">
        <v>123</v>
      </c>
    </row>
    <row r="37" spans="1:11" x14ac:dyDescent="0.2">
      <c r="A37" s="36" t="s">
        <v>119</v>
      </c>
      <c r="B37" s="36" t="s">
        <v>120</v>
      </c>
      <c r="C37" s="37" t="s">
        <v>124</v>
      </c>
      <c r="D37" s="37"/>
      <c r="E37" s="38">
        <v>1</v>
      </c>
      <c r="F37" s="39">
        <v>14</v>
      </c>
      <c r="G37" s="17">
        <v>1</v>
      </c>
      <c r="H37" s="39">
        <f t="shared" si="1"/>
        <v>14</v>
      </c>
      <c r="I37" s="37" t="s">
        <v>35</v>
      </c>
      <c r="J37" s="40"/>
      <c r="K37" s="37"/>
    </row>
    <row r="38" spans="1:11" x14ac:dyDescent="0.2">
      <c r="A38" s="36" t="s">
        <v>119</v>
      </c>
      <c r="B38" s="36" t="s">
        <v>125</v>
      </c>
      <c r="C38" s="37" t="s">
        <v>126</v>
      </c>
      <c r="D38" s="37"/>
      <c r="E38" s="38">
        <v>1</v>
      </c>
      <c r="F38" s="39">
        <v>16</v>
      </c>
      <c r="G38" s="17">
        <v>1</v>
      </c>
      <c r="H38" s="39">
        <f t="shared" si="1"/>
        <v>16</v>
      </c>
      <c r="I38" s="37" t="s">
        <v>35</v>
      </c>
      <c r="J38" s="40"/>
      <c r="K38" s="37" t="s">
        <v>127</v>
      </c>
    </row>
    <row r="39" spans="1:11" x14ac:dyDescent="0.2">
      <c r="A39" s="36" t="s">
        <v>119</v>
      </c>
      <c r="B39" s="36" t="s">
        <v>125</v>
      </c>
      <c r="C39" s="37" t="s">
        <v>128</v>
      </c>
      <c r="D39" s="37"/>
      <c r="E39" s="38">
        <v>1</v>
      </c>
      <c r="F39" s="39">
        <v>10</v>
      </c>
      <c r="G39" s="17">
        <v>1</v>
      </c>
      <c r="H39" s="39">
        <f t="shared" si="1"/>
        <v>10</v>
      </c>
      <c r="I39" s="37" t="s">
        <v>35</v>
      </c>
      <c r="J39" s="40"/>
      <c r="K39" s="37" t="s">
        <v>129</v>
      </c>
    </row>
    <row r="40" spans="1:11" x14ac:dyDescent="0.2">
      <c r="A40" s="36" t="s">
        <v>119</v>
      </c>
      <c r="B40" s="36" t="s">
        <v>130</v>
      </c>
      <c r="C40" s="37" t="s">
        <v>131</v>
      </c>
      <c r="D40" s="37">
        <v>1</v>
      </c>
      <c r="E40" s="38">
        <v>4</v>
      </c>
      <c r="F40" s="39">
        <v>3</v>
      </c>
      <c r="G40" s="17">
        <v>1</v>
      </c>
      <c r="H40" s="39">
        <f t="shared" si="1"/>
        <v>12</v>
      </c>
      <c r="I40" s="37" t="s">
        <v>35</v>
      </c>
      <c r="J40" s="40"/>
      <c r="K40" s="37" t="s">
        <v>132</v>
      </c>
    </row>
    <row r="41" spans="1:11" x14ac:dyDescent="0.2">
      <c r="A41" s="36" t="s">
        <v>119</v>
      </c>
      <c r="B41" s="36" t="s">
        <v>130</v>
      </c>
      <c r="C41" s="37" t="s">
        <v>133</v>
      </c>
      <c r="D41" s="37"/>
      <c r="E41" s="38">
        <v>1</v>
      </c>
      <c r="F41" s="39">
        <v>10</v>
      </c>
      <c r="G41" s="17">
        <v>1</v>
      </c>
      <c r="H41" s="39">
        <f t="shared" si="1"/>
        <v>10</v>
      </c>
      <c r="I41" s="37" t="s">
        <v>35</v>
      </c>
      <c r="J41" s="40"/>
      <c r="K41" s="37"/>
    </row>
    <row r="42" spans="1:11" x14ac:dyDescent="0.2">
      <c r="A42" s="36" t="s">
        <v>119</v>
      </c>
      <c r="B42" s="36" t="s">
        <v>134</v>
      </c>
      <c r="C42" s="37" t="s">
        <v>135</v>
      </c>
      <c r="D42" s="37"/>
      <c r="E42" s="38">
        <v>1</v>
      </c>
      <c r="F42" s="39">
        <v>18</v>
      </c>
      <c r="G42" s="17">
        <v>1</v>
      </c>
      <c r="H42" s="39">
        <f t="shared" si="1"/>
        <v>18</v>
      </c>
      <c r="I42" s="37" t="s">
        <v>35</v>
      </c>
      <c r="J42" s="40"/>
      <c r="K42" s="37" t="s">
        <v>136</v>
      </c>
    </row>
    <row r="43" spans="1:11" ht="28" x14ac:dyDescent="0.2">
      <c r="A43" s="41" t="s">
        <v>137</v>
      </c>
      <c r="B43" s="41" t="s">
        <v>138</v>
      </c>
      <c r="C43" s="54" t="s">
        <v>139</v>
      </c>
      <c r="D43" s="54">
        <v>1</v>
      </c>
      <c r="E43" s="43">
        <v>1</v>
      </c>
      <c r="F43" s="44">
        <v>25</v>
      </c>
      <c r="G43" s="17">
        <v>1</v>
      </c>
      <c r="H43" s="44">
        <f t="shared" si="1"/>
        <v>25</v>
      </c>
      <c r="I43" s="42" t="s">
        <v>140</v>
      </c>
      <c r="J43" s="45" t="s">
        <v>141</v>
      </c>
      <c r="K43" s="42" t="s">
        <v>142</v>
      </c>
    </row>
    <row r="44" spans="1:11" x14ac:dyDescent="0.2">
      <c r="A44" s="41" t="s">
        <v>137</v>
      </c>
      <c r="B44" s="41" t="s">
        <v>143</v>
      </c>
      <c r="C44" s="42" t="s">
        <v>144</v>
      </c>
      <c r="D44" s="42">
        <v>1</v>
      </c>
      <c r="E44" s="43">
        <v>1</v>
      </c>
      <c r="F44" s="44">
        <v>12</v>
      </c>
      <c r="G44" s="17">
        <v>1</v>
      </c>
      <c r="H44" s="44">
        <f t="shared" si="1"/>
        <v>12</v>
      </c>
      <c r="I44" s="42" t="s">
        <v>35</v>
      </c>
      <c r="J44" s="46"/>
      <c r="K44" s="42"/>
    </row>
    <row r="45" spans="1:11" x14ac:dyDescent="0.2">
      <c r="A45" s="41" t="s">
        <v>137</v>
      </c>
      <c r="B45" s="41" t="s">
        <v>143</v>
      </c>
      <c r="C45" s="42" t="s">
        <v>145</v>
      </c>
      <c r="D45" s="42">
        <v>1</v>
      </c>
      <c r="E45" s="43">
        <v>1</v>
      </c>
      <c r="F45" s="44">
        <v>12</v>
      </c>
      <c r="G45" s="17">
        <v>1</v>
      </c>
      <c r="H45" s="44">
        <f t="shared" si="1"/>
        <v>12</v>
      </c>
      <c r="I45" s="42" t="s">
        <v>35</v>
      </c>
      <c r="J45" s="46"/>
      <c r="K45" s="42"/>
    </row>
    <row r="46" spans="1:11" x14ac:dyDescent="0.2">
      <c r="A46" s="41" t="s">
        <v>137</v>
      </c>
      <c r="B46" s="41" t="s">
        <v>146</v>
      </c>
      <c r="C46" s="42" t="s">
        <v>147</v>
      </c>
      <c r="D46" s="42">
        <v>1</v>
      </c>
      <c r="E46" s="43">
        <v>1</v>
      </c>
      <c r="F46" s="44">
        <v>12</v>
      </c>
      <c r="G46" s="17">
        <v>1</v>
      </c>
      <c r="H46" s="44">
        <f t="shared" si="1"/>
        <v>12</v>
      </c>
      <c r="I46" s="42" t="s">
        <v>35</v>
      </c>
      <c r="J46" s="46"/>
      <c r="K46" s="42"/>
    </row>
    <row r="47" spans="1:11" x14ac:dyDescent="0.2">
      <c r="A47" s="41" t="s">
        <v>137</v>
      </c>
      <c r="B47" s="41" t="s">
        <v>146</v>
      </c>
      <c r="C47" s="42" t="s">
        <v>148</v>
      </c>
      <c r="D47" s="42">
        <v>1</v>
      </c>
      <c r="E47" s="43">
        <v>1</v>
      </c>
      <c r="F47" s="44">
        <v>10</v>
      </c>
      <c r="G47" s="17">
        <v>1</v>
      </c>
      <c r="H47" s="44">
        <f t="shared" si="1"/>
        <v>10</v>
      </c>
      <c r="I47" s="42" t="s">
        <v>35</v>
      </c>
      <c r="J47" s="46"/>
      <c r="K47" s="42"/>
    </row>
    <row r="48" spans="1:11" x14ac:dyDescent="0.2">
      <c r="A48" s="41" t="s">
        <v>137</v>
      </c>
      <c r="B48" s="41" t="s">
        <v>146</v>
      </c>
      <c r="C48" s="42" t="s">
        <v>149</v>
      </c>
      <c r="D48" s="42">
        <v>1</v>
      </c>
      <c r="E48" s="43">
        <v>1</v>
      </c>
      <c r="F48" s="44">
        <v>10</v>
      </c>
      <c r="G48" s="17">
        <v>1</v>
      </c>
      <c r="H48" s="44">
        <f t="shared" si="1"/>
        <v>10</v>
      </c>
      <c r="I48" s="42" t="s">
        <v>35</v>
      </c>
      <c r="J48" s="46"/>
      <c r="K48" s="42"/>
    </row>
    <row r="49" spans="1:11" x14ac:dyDescent="0.2">
      <c r="A49" s="47" t="s">
        <v>150</v>
      </c>
      <c r="B49" s="47" t="s">
        <v>151</v>
      </c>
      <c r="C49" s="48" t="s">
        <v>152</v>
      </c>
      <c r="D49" s="48"/>
      <c r="E49" s="49">
        <v>1</v>
      </c>
      <c r="F49" s="50">
        <v>30</v>
      </c>
      <c r="G49" s="17">
        <v>0</v>
      </c>
      <c r="H49" s="50">
        <f t="shared" si="1"/>
        <v>0</v>
      </c>
      <c r="I49" s="48" t="s">
        <v>153</v>
      </c>
      <c r="J49" s="51"/>
      <c r="K49" s="48" t="s">
        <v>154</v>
      </c>
    </row>
    <row r="50" spans="1:11" x14ac:dyDescent="0.2">
      <c r="A50" s="47" t="s">
        <v>150</v>
      </c>
      <c r="B50" s="47" t="s">
        <v>151</v>
      </c>
      <c r="C50" s="48" t="s">
        <v>155</v>
      </c>
      <c r="D50" s="48">
        <v>1</v>
      </c>
      <c r="E50" s="49">
        <v>1</v>
      </c>
      <c r="F50" s="50">
        <v>12</v>
      </c>
      <c r="G50" s="17">
        <v>0</v>
      </c>
      <c r="H50" s="50">
        <f t="shared" si="1"/>
        <v>0</v>
      </c>
      <c r="I50" s="48" t="s">
        <v>153</v>
      </c>
      <c r="J50" s="51"/>
      <c r="K50" s="48"/>
    </row>
    <row r="51" spans="1:11" x14ac:dyDescent="0.2">
      <c r="A51" s="47" t="s">
        <v>150</v>
      </c>
      <c r="B51" s="47" t="s">
        <v>151</v>
      </c>
      <c r="C51" s="48" t="s">
        <v>156</v>
      </c>
      <c r="D51" s="48"/>
      <c r="E51" s="49">
        <v>1</v>
      </c>
      <c r="F51" s="50">
        <v>8</v>
      </c>
      <c r="G51" s="17">
        <v>0</v>
      </c>
      <c r="H51" s="50">
        <f t="shared" si="1"/>
        <v>0</v>
      </c>
      <c r="I51" s="48" t="s">
        <v>153</v>
      </c>
      <c r="J51" s="51"/>
      <c r="K51" s="48"/>
    </row>
    <row r="52" spans="1:11" x14ac:dyDescent="0.2">
      <c r="A52" s="47" t="s">
        <v>150</v>
      </c>
      <c r="B52" s="47" t="s">
        <v>151</v>
      </c>
      <c r="C52" s="48" t="s">
        <v>157</v>
      </c>
      <c r="D52" s="48">
        <v>1</v>
      </c>
      <c r="E52" s="49">
        <v>1</v>
      </c>
      <c r="F52" s="50">
        <v>25</v>
      </c>
      <c r="G52" s="17">
        <v>0</v>
      </c>
      <c r="H52" s="50">
        <f t="shared" si="1"/>
        <v>0</v>
      </c>
      <c r="I52" s="48" t="s">
        <v>153</v>
      </c>
      <c r="J52" s="51"/>
      <c r="K52" s="48"/>
    </row>
    <row r="53" spans="1:11" x14ac:dyDescent="0.2">
      <c r="A53" s="47" t="s">
        <v>150</v>
      </c>
      <c r="B53" s="47" t="s">
        <v>151</v>
      </c>
      <c r="C53" s="48" t="s">
        <v>158</v>
      </c>
      <c r="D53" s="48"/>
      <c r="E53" s="49">
        <v>1</v>
      </c>
      <c r="F53" s="50">
        <v>12</v>
      </c>
      <c r="G53" s="17">
        <v>0</v>
      </c>
      <c r="H53" s="50">
        <f t="shared" si="1"/>
        <v>0</v>
      </c>
      <c r="I53" s="48" t="s">
        <v>153</v>
      </c>
      <c r="J53" s="51"/>
      <c r="K53" s="48" t="s">
        <v>159</v>
      </c>
    </row>
  </sheetData>
  <autoFilter ref="A1:K53" xr:uid="{00000000-0009-0000-0000-000001000000}"/>
  <hyperlinks>
    <hyperlink ref="J2" r:id="rId1" xr:uid="{00000000-0004-0000-0100-000000000000}"/>
    <hyperlink ref="J17" r:id="rId2" xr:uid="{00000000-0004-0000-0100-000001000000}"/>
    <hyperlink ref="J18" r:id="rId3" xr:uid="{00000000-0004-0000-0100-000002000000}"/>
    <hyperlink ref="J22" r:id="rId4" xr:uid="{00000000-0004-0000-0100-000003000000}"/>
    <hyperlink ref="J23" r:id="rId5" xr:uid="{00000000-0004-0000-0100-000004000000}"/>
    <hyperlink ref="J24" r:id="rId6" xr:uid="{00000000-0004-0000-0100-000005000000}"/>
    <hyperlink ref="J35" r:id="rId7" xr:uid="{00000000-0004-0000-0100-000006000000}"/>
    <hyperlink ref="J43" r:id="rId8" xr:uid="{00000000-0004-0000-0100-000007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grayton giesman</cp:lastModifiedBy>
  <cp:revision>0</cp:revision>
  <dcterms:created xsi:type="dcterms:W3CDTF">2026-07-22T04:48:27Z</dcterms:created>
  <dcterms:modified xsi:type="dcterms:W3CDTF">2026-07-27T04:47:04Z</dcterms:modified>
  <dc:language>en-US</dc:language>
</cp:coreProperties>
</file>