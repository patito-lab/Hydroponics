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graytongiesman/dev/hydroponics/docs/"/>
    </mc:Choice>
  </mc:AlternateContent>
  <xr:revisionPtr revIDLastSave="0" documentId="8_{B1661A10-FAA9-E747-95C8-C74207577DDA}" xr6:coauthVersionLast="47" xr6:coauthVersionMax="47" xr10:uidLastSave="{00000000-0000-0000-0000-000000000000}"/>
  <bookViews>
    <workbookView xWindow="0" yWindow="660" windowWidth="27700" windowHeight="17060" tabRatio="500" activeTab="2" xr2:uid="{00000000-000D-0000-FFFF-FFFF00000000}"/>
  </bookViews>
  <sheets>
    <sheet name="CN7" sheetId="1" r:id="rId1"/>
    <sheet name="CN10" sheetId="2" r:id="rId2"/>
    <sheet name="By Function" sheetId="3" r:id="rId3"/>
    <sheet name="Spares" sheetId="4" r:id="rId4"/>
  </sheets>
  <definedNames>
    <definedName name="_xlnm._FilterDatabase" localSheetId="1" hidden="1">'CN10'!$A$4:$E$42</definedName>
    <definedName name="_xlnm._FilterDatabase" localSheetId="0" hidden="1">'CN7'!$A$4:$E$42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0" i="4" l="1"/>
  <c r="B18" i="4"/>
  <c r="B17" i="4"/>
  <c r="B16" i="4"/>
  <c r="B15" i="4"/>
  <c r="B19" i="4" s="1"/>
</calcChain>
</file>

<file path=xl/sharedStrings.xml><?xml version="1.0" encoding="utf-8"?>
<sst xmlns="http://schemas.openxmlformats.org/spreadsheetml/2006/main" count="462" uniqueCount="252">
  <si>
    <t>CN7 pin assignment</t>
  </si>
  <si>
    <t>NUCLEO-F446RE morpho connector, physical pin order.</t>
  </si>
  <si>
    <t>Pin</t>
  </si>
  <si>
    <t>Signal</t>
  </si>
  <si>
    <t>Function</t>
  </si>
  <si>
    <t>Category</t>
  </si>
  <si>
    <t>Notes</t>
  </si>
  <si>
    <t>PC10</t>
  </si>
  <si>
    <t>Bottle A float</t>
  </si>
  <si>
    <t>Input</t>
  </si>
  <si>
    <t>Level switch, dosing bottle A. Internal pull-up, switch to GND. EXTI10.</t>
  </si>
  <si>
    <t>PC11</t>
  </si>
  <si>
    <t>Bottle B float</t>
  </si>
  <si>
    <t>Level switch, dosing bottle B. Internal pull-up, switch to GND. EXTI11.</t>
  </si>
  <si>
    <t>PC12</t>
  </si>
  <si>
    <t>Bottle C float</t>
  </si>
  <si>
    <t>Level switch, dosing bottle C. Internal pull-up, switch to GND. EXTI12.</t>
  </si>
  <si>
    <t>PD2</t>
  </si>
  <si>
    <t>Bottle D float</t>
  </si>
  <si>
    <t>Level switch, dosing bottle D. Internal pull-up, switch to GND. EXTI2.</t>
  </si>
  <si>
    <t>VDD</t>
  </si>
  <si>
    <t>3.3V</t>
  </si>
  <si>
    <t>Power</t>
  </si>
  <si>
    <t>E5V</t>
  </si>
  <si>
    <t>5V input</t>
  </si>
  <si>
    <t>External 5V supply input when not USB powered. Set JP5 accordingly.</t>
  </si>
  <si>
    <t>BOOT0</t>
  </si>
  <si>
    <t>Reserved</t>
  </si>
  <si>
    <t>Pulled low on Nucleo.</t>
  </si>
  <si>
    <t>GND</t>
  </si>
  <si>
    <t>Ground</t>
  </si>
  <si>
    <t>NC</t>
  </si>
  <si>
    <t>IOREF</t>
  </si>
  <si>
    <t>IO reference</t>
  </si>
  <si>
    <t>PA13</t>
  </si>
  <si>
    <t>SWDIO</t>
  </si>
  <si>
    <t>Debug</t>
  </si>
  <si>
    <t>ST-Link SWD.</t>
  </si>
  <si>
    <t>RESET</t>
  </si>
  <si>
    <t>NRST</t>
  </si>
  <si>
    <t>PA14</t>
  </si>
  <si>
    <t>SWCLK</t>
  </si>
  <si>
    <t>+3V3</t>
  </si>
  <si>
    <t>PA15</t>
  </si>
  <si>
    <t>Tank float, max 5.5in</t>
  </si>
  <si>
    <t>Upper level, net pot bottom. JTDI at reset; free only with SW-only debug. EXTI15.</t>
  </si>
  <si>
    <t>+5V</t>
  </si>
  <si>
    <t>5V</t>
  </si>
  <si>
    <t>PB7</t>
  </si>
  <si>
    <t>Tank float, refill 3.5in</t>
  </si>
  <si>
    <t>Refill trigger level. EXTI7.</t>
  </si>
  <si>
    <t>PC13</t>
  </si>
  <si>
    <t>B1 user button</t>
  </si>
  <si>
    <t>Onboard blue button.</t>
  </si>
  <si>
    <t>VIN</t>
  </si>
  <si>
    <t>7-12V input</t>
  </si>
  <si>
    <t>PC14</t>
  </si>
  <si>
    <t>OSC32_IN</t>
  </si>
  <si>
    <t>Keep free for LSE crystal (RTC scheduling in V2).</t>
  </si>
  <si>
    <t>PC15</t>
  </si>
  <si>
    <t>OSC32_OUT</t>
  </si>
  <si>
    <t>PA0</t>
  </si>
  <si>
    <t>Spare</t>
  </si>
  <si>
    <t>Free</t>
  </si>
  <si>
    <t>ADC123_IN0. Also TIM2_CH1.</t>
  </si>
  <si>
    <t>PH0</t>
  </si>
  <si>
    <t>OSC_IN</t>
  </si>
  <si>
    <t>8 MHz from ST-Link MCO.</t>
  </si>
  <si>
    <t>PA1</t>
  </si>
  <si>
    <t>ADC123_IN1. Also TIM2_CH2.</t>
  </si>
  <si>
    <t>PH1</t>
  </si>
  <si>
    <t>OSC_OUT</t>
  </si>
  <si>
    <t>PA4</t>
  </si>
  <si>
    <t>SD card CS</t>
  </si>
  <si>
    <t>SPI</t>
  </si>
  <si>
    <t>Software-controlled CS. Do not use hardware NSS; FatFs holds CS low across multi-byte transactions.</t>
  </si>
  <si>
    <t>VBAT</t>
  </si>
  <si>
    <t>Battery</t>
  </si>
  <si>
    <t>PB0</t>
  </si>
  <si>
    <t>Tank float, min 2.0in</t>
  </si>
  <si>
    <t>Low level, pump protection. Costs ADC1_IN8. EXTI0.</t>
  </si>
  <si>
    <t>PC2</t>
  </si>
  <si>
    <t>Analog 3</t>
  </si>
  <si>
    <t>Analog</t>
  </si>
  <si>
    <t>ADC123_IN12. Spare analog sensor (light sensor in V2).</t>
  </si>
  <si>
    <t>PC1</t>
  </si>
  <si>
    <t>Analog 2, EC</t>
  </si>
  <si>
    <t>ADC123_IN11. Target 1.0-1.4 mS/cm for herbs.</t>
  </si>
  <si>
    <t>PC3</t>
  </si>
  <si>
    <t>ADC123_IN13.</t>
  </si>
  <si>
    <t>PC0</t>
  </si>
  <si>
    <t>Analog 1, pH</t>
  </si>
  <si>
    <t>ADC123_IN10.</t>
  </si>
  <si>
    <t>CN10 pin assignment</t>
  </si>
  <si>
    <t>PC9</t>
  </si>
  <si>
    <t>PC8</t>
  </si>
  <si>
    <t>LED, tank red</t>
  </si>
  <si>
    <t>Output</t>
  </si>
  <si>
    <t>220 ohm series.</t>
  </si>
  <si>
    <t>PB8</t>
  </si>
  <si>
    <t>I2C1_SCL if I2C is retained for expander or EZO modules.</t>
  </si>
  <si>
    <t>PC6</t>
  </si>
  <si>
    <t>LED, tank yellow</t>
  </si>
  <si>
    <t>PB9</t>
  </si>
  <si>
    <t>I2C1_SDA if I2C is retained for expander or EZO modules.</t>
  </si>
  <si>
    <t>PC5</t>
  </si>
  <si>
    <t>ADC12_IN15.</t>
  </si>
  <si>
    <t>AVDD</t>
  </si>
  <si>
    <t>Analog 3.3V</t>
  </si>
  <si>
    <t>U5V</t>
  </si>
  <si>
    <t>USB 5V</t>
  </si>
  <si>
    <t>PA5</t>
  </si>
  <si>
    <t>SPI1_SCK</t>
  </si>
  <si>
    <t>Also drives LD2 via SB21. Remove SB21 if SD card is marginal at clock speed.</t>
  </si>
  <si>
    <t>PA12</t>
  </si>
  <si>
    <t>Air pump on/off</t>
  </si>
  <si>
    <t>USB_DP, unused on Nucleo-64. Low-side MOSFET drive.</t>
  </si>
  <si>
    <t>PA6</t>
  </si>
  <si>
    <t>SPI1_MISO</t>
  </si>
  <si>
    <t>PA11</t>
  </si>
  <si>
    <t>Pump 4 on/off</t>
  </si>
  <si>
    <t>TIM1_CH4. Bottle D (pH Up). AO3400A low-side.</t>
  </si>
  <si>
    <t>PA7</t>
  </si>
  <si>
    <t>SPI1_MOSI</t>
  </si>
  <si>
    <t>PB12</t>
  </si>
  <si>
    <t>LED, bottle A red</t>
  </si>
  <si>
    <t>PB6</t>
  </si>
  <si>
    <t>LED, system red</t>
  </si>
  <si>
    <t>PB11</t>
  </si>
  <si>
    <t>PC7</t>
  </si>
  <si>
    <t>LED, tank green</t>
  </si>
  <si>
    <t>5V rail low-side sink, 270-330 ohm. 5V tolerant.</t>
  </si>
  <si>
    <t>PA9</t>
  </si>
  <si>
    <t>Pump 2 on/off</t>
  </si>
  <si>
    <t>TIM1_CH2. Bottle B (Masterblend + Epsom). AO3400A low-side.</t>
  </si>
  <si>
    <t>PB2</t>
  </si>
  <si>
    <t>LED, bottle C green</t>
  </si>
  <si>
    <t>5V rail low-side sink. BOOT1: reads high at reset, harmless since BOOT0 is pulled low.</t>
  </si>
  <si>
    <t>PA8</t>
  </si>
  <si>
    <t>Pump 1 on/off</t>
  </si>
  <si>
    <t>TIM1_CH1. Bottle A (calcium nitrate). AO3400A low-side.</t>
  </si>
  <si>
    <t>PB1</t>
  </si>
  <si>
    <t>LED, bottle C red</t>
  </si>
  <si>
    <t>PB10</t>
  </si>
  <si>
    <t>LED, system green</t>
  </si>
  <si>
    <t>PB15</t>
  </si>
  <si>
    <t>LED, bottle B green</t>
  </si>
  <si>
    <t>PB4</t>
  </si>
  <si>
    <t>LED, bottle D red</t>
  </si>
  <si>
    <t>NJTRST; free only with SW-only debug. 220 ohm series.</t>
  </si>
  <si>
    <t>PB14</t>
  </si>
  <si>
    <t>LED, bottle B red</t>
  </si>
  <si>
    <t>PB5</t>
  </si>
  <si>
    <t>LED, bottle D green</t>
  </si>
  <si>
    <t>PB13</t>
  </si>
  <si>
    <t>LED, bottle A green</t>
  </si>
  <si>
    <t>PB3</t>
  </si>
  <si>
    <t>SWO</t>
  </si>
  <si>
    <t>Trace output. Requires Trace Asynchronous SW debug setting.</t>
  </si>
  <si>
    <t>AGND</t>
  </si>
  <si>
    <t>Analog ground</t>
  </si>
  <si>
    <t>PA10</t>
  </si>
  <si>
    <t>Pump 3 on/off</t>
  </si>
  <si>
    <t>TIM1_CH3. Bottle C (pH Down). AO3400A low-side.</t>
  </si>
  <si>
    <t>PC4</t>
  </si>
  <si>
    <t>ADC12_IN14.</t>
  </si>
  <si>
    <t>PA2</t>
  </si>
  <si>
    <t>VCP TX</t>
  </si>
  <si>
    <t>USART2 to ST-Link virtual COM port.</t>
  </si>
  <si>
    <t>PA3</t>
  </si>
  <si>
    <t>VCP RX</t>
  </si>
  <si>
    <t>Assignments by subsystem</t>
  </si>
  <si>
    <t>Firmware-side view. Same data as the connector sheets, grouped by module.</t>
  </si>
  <si>
    <t>Subsystem</t>
  </si>
  <si>
    <t>Port pin</t>
  </si>
  <si>
    <t>Connector</t>
  </si>
  <si>
    <t>Header pin</t>
  </si>
  <si>
    <t>Tank level</t>
  </si>
  <si>
    <t>Max level, 5.5in</t>
  </si>
  <si>
    <t>CN7</t>
  </si>
  <si>
    <t>Net pot bottom. Overfill limit.</t>
  </si>
  <si>
    <t>Refill trigger, 3.5in</t>
  </si>
  <si>
    <t>Starts refill routine.</t>
  </si>
  <si>
    <t>Minimum, 2.0in</t>
  </si>
  <si>
    <t>Inhibits dosing and air pump.</t>
  </si>
  <si>
    <t>Bottle level</t>
  </si>
  <si>
    <t>Bottle A, cal nitrate</t>
  </si>
  <si>
    <t>Bottle B, Masterblend</t>
  </si>
  <si>
    <t>Bottle C, pH Down</t>
  </si>
  <si>
    <t>Bottle D, pH Up</t>
  </si>
  <si>
    <t>Dosing pumps</t>
  </si>
  <si>
    <t>Pump 1, bottle A</t>
  </si>
  <si>
    <t>CN10</t>
  </si>
  <si>
    <t>TIM1_CH1.</t>
  </si>
  <si>
    <t>Pump 2, bottle B</t>
  </si>
  <si>
    <t>TIM1_CH2.</t>
  </si>
  <si>
    <t>Pump 3, bottle C</t>
  </si>
  <si>
    <t>TIM1_CH3.</t>
  </si>
  <si>
    <t>Pump 4, bottle D</t>
  </si>
  <si>
    <t>TIM1_CH4.</t>
  </si>
  <si>
    <t>Aeration</t>
  </si>
  <si>
    <t>Air pump</t>
  </si>
  <si>
    <t>pH</t>
  </si>
  <si>
    <t>EC</t>
  </si>
  <si>
    <t>ADC123_IN11.</t>
  </si>
  <si>
    <t>Spare analog</t>
  </si>
  <si>
    <t>ADC123_IN12.</t>
  </si>
  <si>
    <t>Status LEDs</t>
  </si>
  <si>
    <t>Tank red</t>
  </si>
  <si>
    <t>Tank yellow</t>
  </si>
  <si>
    <t>Tank green</t>
  </si>
  <si>
    <t>Bottle A red</t>
  </si>
  <si>
    <t>Bottle A green</t>
  </si>
  <si>
    <t>Bottle B red</t>
  </si>
  <si>
    <t>Bottle B green</t>
  </si>
  <si>
    <t>Bottle C red</t>
  </si>
  <si>
    <t>Bottle C green</t>
  </si>
  <si>
    <t>Bottle D red</t>
  </si>
  <si>
    <t>Bottle D green</t>
  </si>
  <si>
    <t>System red</t>
  </si>
  <si>
    <t>System green</t>
  </si>
  <si>
    <t>SD logger</t>
  </si>
  <si>
    <t>Shared with LD2 via SB21.</t>
  </si>
  <si>
    <t>Chip select</t>
  </si>
  <si>
    <t>Software CS.</t>
  </si>
  <si>
    <t>Unassigned pins and budget</t>
  </si>
  <si>
    <t>ADC capable</t>
  </si>
  <si>
    <t>Alternate functions</t>
  </si>
  <si>
    <t>Yes</t>
  </si>
  <si>
    <t>ADC123_IN0, TIM2_CH1</t>
  </si>
  <si>
    <t>ADC123_IN1, TIM2_CH2</t>
  </si>
  <si>
    <t>ADC123_IN13</t>
  </si>
  <si>
    <t>ADC12_IN14</t>
  </si>
  <si>
    <t>ADC12_IN15</t>
  </si>
  <si>
    <t>No</t>
  </si>
  <si>
    <t>TIM3_CH4, I2S_CKIN</t>
  </si>
  <si>
    <t>TIM2_CH4, I2C2_SDA</t>
  </si>
  <si>
    <t>I2C1_SCL, TIM4_CH3, CAN1_RX</t>
  </si>
  <si>
    <t>I2C1_SDA, TIM4_CH4, CAN1_TX</t>
  </si>
  <si>
    <t>Budget</t>
  </si>
  <si>
    <t>Float switch inputs</t>
  </si>
  <si>
    <t>Digital outputs (pumps, air, LEDs)</t>
  </si>
  <si>
    <t>Analog inputs</t>
  </si>
  <si>
    <t>SPI (SD logger, incl. CS)</t>
  </si>
  <si>
    <t>Total assigned</t>
  </si>
  <si>
    <t>Unassigned and usable</t>
  </si>
  <si>
    <t>Counts are driven by the Category column on the CN7 and CN10 sheets. Recategorizing a pin there updates them.</t>
  </si>
  <si>
    <t>PA15 and PB4 require SYS Debug set to Trace Asynchronous SW in CubeMX. Full JTAG reclaims both, plus PB3.</t>
  </si>
  <si>
    <t>PC14 and PC15 are held free for an LSE crystal, on the assumption V2 grow lights need a day/night schedule.</t>
  </si>
  <si>
    <t>PB8 and PB9 are held free so I2C1 remains available for an MCP23017 expander or Atlas Scientific EZO modules.</t>
  </si>
  <si>
    <t>Green LEDs sink from the 5V rail. Every pin used that way is 5V tolerant. Do not extend the scheme to PA4 or PC0-PC5.</t>
  </si>
  <si>
    <t>Sensor return current must not share a path with pump return current. Run MOSFET grounds to the supply directly.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</si>
</sst>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3"/>
      <name val="Arial"/>
      <family val="2"/>
    </font>
    <font>
      <i/>
      <sz val="9"/>
      <color rgb="FF595959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404040"/>
        <bgColor rgb="FF333300"/>
      </patternFill>
    </fill>
    <fill>
      <patternFill patternType="solid">
        <fgColor rgb="FFDDEBF7"/>
        <bgColor rgb="FFE2EFDA"/>
      </patternFill>
    </fill>
    <fill>
      <patternFill patternType="solid">
        <fgColor rgb="FFD9D9D9"/>
        <bgColor rgb="FFDDEBF7"/>
      </patternFill>
    </fill>
    <fill>
      <patternFill patternType="solid">
        <fgColor rgb="FFF2F2F2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DDEBF7"/>
      </patternFill>
    </fill>
    <fill>
      <patternFill patternType="solid">
        <fgColor rgb="FFFCE4D6"/>
        <b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0" borderId="0" xfId="0" applyFont="1" applyAlignment="1">
      <alignment vertical="top" wrapText="1"/>
    </xf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top"/>
    </xf>
    <xf numFmtId="0" fontId="5" fillId="3" borderId="1" xfId="0" applyFont="1" applyFill="1" applyBorder="1" applyAlignment="1">
      <alignment vertical="top"/>
    </xf>
    <xf numFmtId="0" fontId="4" fillId="3" borderId="1" xfId="0" applyFont="1" applyFill="1" applyBorder="1" applyAlignment="1">
      <alignment vertical="top"/>
    </xf>
    <xf numFmtId="0" fontId="4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horizontal="center" vertical="top"/>
    </xf>
    <xf numFmtId="0" fontId="4" fillId="4" borderId="1" xfId="0" applyFont="1" applyFill="1" applyBorder="1" applyAlignment="1">
      <alignment vertical="top"/>
    </xf>
    <xf numFmtId="0" fontId="4" fillId="4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/>
    </xf>
    <xf numFmtId="0" fontId="4" fillId="5" borderId="1" xfId="0" applyFont="1" applyFill="1" applyBorder="1" applyAlignment="1">
      <alignment horizontal="center" vertical="top"/>
    </xf>
    <xf numFmtId="0" fontId="4" fillId="5" borderId="1" xfId="0" applyFont="1" applyFill="1" applyBorder="1" applyAlignment="1">
      <alignment vertical="top"/>
    </xf>
    <xf numFmtId="0" fontId="4" fillId="5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horizontal="center" vertical="top"/>
    </xf>
    <xf numFmtId="0" fontId="5" fillId="6" borderId="1" xfId="0" applyFont="1" applyFill="1" applyBorder="1" applyAlignment="1">
      <alignment vertical="top"/>
    </xf>
    <xf numFmtId="0" fontId="4" fillId="6" borderId="1" xfId="0" applyFont="1" applyFill="1" applyBorder="1" applyAlignment="1">
      <alignment vertical="top"/>
    </xf>
    <xf numFmtId="0" fontId="4" fillId="6" borderId="1" xfId="0" applyFont="1" applyFill="1" applyBorder="1" applyAlignment="1">
      <alignment vertical="top" wrapText="1"/>
    </xf>
    <xf numFmtId="0" fontId="4" fillId="7" borderId="1" xfId="0" applyFont="1" applyFill="1" applyBorder="1" applyAlignment="1">
      <alignment horizontal="center" vertical="top"/>
    </xf>
    <xf numFmtId="0" fontId="5" fillId="7" borderId="1" xfId="0" applyFont="1" applyFill="1" applyBorder="1" applyAlignment="1">
      <alignment vertical="top"/>
    </xf>
    <xf numFmtId="0" fontId="4" fillId="7" borderId="1" xfId="0" applyFont="1" applyFill="1" applyBorder="1" applyAlignment="1">
      <alignment vertical="top"/>
    </xf>
    <xf numFmtId="0" fontId="4" fillId="7" borderId="1" xfId="0" applyFont="1" applyFill="1" applyBorder="1" applyAlignment="1">
      <alignment vertical="top" wrapText="1"/>
    </xf>
    <xf numFmtId="0" fontId="4" fillId="8" borderId="1" xfId="0" applyFont="1" applyFill="1" applyBorder="1" applyAlignment="1">
      <alignment horizontal="center" vertical="top"/>
    </xf>
    <xf numFmtId="0" fontId="5" fillId="8" borderId="1" xfId="0" applyFont="1" applyFill="1" applyBorder="1" applyAlignment="1">
      <alignment vertical="top"/>
    </xf>
    <xf numFmtId="0" fontId="4" fillId="8" borderId="1" xfId="0" applyFont="1" applyFill="1" applyBorder="1" applyAlignment="1">
      <alignment vertical="top"/>
    </xf>
    <xf numFmtId="0" fontId="4" fillId="8" borderId="1" xfId="0" applyFont="1" applyFill="1" applyBorder="1" applyAlignment="1">
      <alignment vertical="top" wrapText="1"/>
    </xf>
    <xf numFmtId="0" fontId="4" fillId="9" borderId="1" xfId="0" applyFont="1" applyFill="1" applyBorder="1" applyAlignment="1">
      <alignment horizontal="center" vertical="top"/>
    </xf>
    <xf numFmtId="0" fontId="5" fillId="9" borderId="1" xfId="0" applyFont="1" applyFill="1" applyBorder="1" applyAlignment="1">
      <alignment vertical="top"/>
    </xf>
    <xf numFmtId="0" fontId="4" fillId="9" borderId="1" xfId="0" applyFont="1" applyFill="1" applyBorder="1" applyAlignment="1">
      <alignment vertical="top"/>
    </xf>
    <xf numFmtId="0" fontId="4" fillId="9" borderId="1" xfId="0" applyFont="1" applyFill="1" applyBorder="1" applyAlignment="1">
      <alignment vertical="top" wrapText="1"/>
    </xf>
    <xf numFmtId="0" fontId="5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left" vertical="top"/>
    </xf>
    <xf numFmtId="0" fontId="6" fillId="0" borderId="0" xfId="0" applyFont="1"/>
    <xf numFmtId="0" fontId="4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zoomScaleNormal="100" workbookViewId="0">
      <pane ySplit="4" topLeftCell="A5" activePane="bottomLeft" state="frozen"/>
      <selection pane="bottomLeft"/>
    </sheetView>
  </sheetViews>
  <sheetFormatPr baseColWidth="10" defaultColWidth="8.6640625" defaultRowHeight="15" x14ac:dyDescent="0.2"/>
  <cols>
    <col min="1" max="1" width="6" customWidth="1"/>
    <col min="2" max="2" width="10" customWidth="1"/>
    <col min="3" max="3" width="26" customWidth="1"/>
    <col min="4" max="4" width="11" customWidth="1"/>
    <col min="5" max="5" width="72" customWidth="1"/>
  </cols>
  <sheetData>
    <row r="1" spans="1:5" ht="17" x14ac:dyDescent="0.2">
      <c r="A1" s="2" t="s">
        <v>0</v>
      </c>
    </row>
    <row r="2" spans="1:5" x14ac:dyDescent="0.2">
      <c r="A2" s="3" t="s">
        <v>1</v>
      </c>
    </row>
    <row r="4" spans="1:5" ht="19.5" customHeight="1" x14ac:dyDescent="0.2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</row>
    <row r="5" spans="1:5" x14ac:dyDescent="0.2">
      <c r="A5" s="5">
        <v>1</v>
      </c>
      <c r="B5" s="6" t="s">
        <v>7</v>
      </c>
      <c r="C5" s="7" t="s">
        <v>8</v>
      </c>
      <c r="D5" s="7" t="s">
        <v>9</v>
      </c>
      <c r="E5" s="8" t="s">
        <v>10</v>
      </c>
    </row>
    <row r="6" spans="1:5" x14ac:dyDescent="0.2">
      <c r="A6" s="5">
        <v>2</v>
      </c>
      <c r="B6" s="6" t="s">
        <v>11</v>
      </c>
      <c r="C6" s="7" t="s">
        <v>12</v>
      </c>
      <c r="D6" s="7" t="s">
        <v>9</v>
      </c>
      <c r="E6" s="8" t="s">
        <v>13</v>
      </c>
    </row>
    <row r="7" spans="1:5" x14ac:dyDescent="0.2">
      <c r="A7" s="5">
        <v>3</v>
      </c>
      <c r="B7" s="6" t="s">
        <v>14</v>
      </c>
      <c r="C7" s="7" t="s">
        <v>15</v>
      </c>
      <c r="D7" s="7" t="s">
        <v>9</v>
      </c>
      <c r="E7" s="8" t="s">
        <v>16</v>
      </c>
    </row>
    <row r="8" spans="1:5" x14ac:dyDescent="0.2">
      <c r="A8" s="5">
        <v>4</v>
      </c>
      <c r="B8" s="6" t="s">
        <v>17</v>
      </c>
      <c r="C8" s="7" t="s">
        <v>18</v>
      </c>
      <c r="D8" s="7" t="s">
        <v>9</v>
      </c>
      <c r="E8" s="8" t="s">
        <v>19</v>
      </c>
    </row>
    <row r="9" spans="1:5" x14ac:dyDescent="0.2">
      <c r="A9" s="9">
        <v>5</v>
      </c>
      <c r="B9" s="10" t="s">
        <v>20</v>
      </c>
      <c r="C9" s="10" t="s">
        <v>21</v>
      </c>
      <c r="D9" s="10" t="s">
        <v>22</v>
      </c>
      <c r="E9" s="11"/>
    </row>
    <row r="10" spans="1:5" x14ac:dyDescent="0.2">
      <c r="A10" s="9">
        <v>6</v>
      </c>
      <c r="B10" s="10" t="s">
        <v>23</v>
      </c>
      <c r="C10" s="10" t="s">
        <v>24</v>
      </c>
      <c r="D10" s="10" t="s">
        <v>22</v>
      </c>
      <c r="E10" s="11" t="s">
        <v>25</v>
      </c>
    </row>
    <row r="11" spans="1:5" x14ac:dyDescent="0.2">
      <c r="A11" s="9">
        <v>7</v>
      </c>
      <c r="B11" s="12" t="s">
        <v>26</v>
      </c>
      <c r="C11" s="10" t="s">
        <v>26</v>
      </c>
      <c r="D11" s="10" t="s">
        <v>27</v>
      </c>
      <c r="E11" s="11" t="s">
        <v>28</v>
      </c>
    </row>
    <row r="12" spans="1:5" x14ac:dyDescent="0.2">
      <c r="A12" s="9">
        <v>8</v>
      </c>
      <c r="B12" s="10" t="s">
        <v>29</v>
      </c>
      <c r="C12" s="10" t="s">
        <v>30</v>
      </c>
      <c r="D12" s="10" t="s">
        <v>22</v>
      </c>
      <c r="E12" s="11"/>
    </row>
    <row r="13" spans="1:5" x14ac:dyDescent="0.2">
      <c r="A13" s="13">
        <v>9</v>
      </c>
      <c r="B13" s="14" t="s">
        <v>31</v>
      </c>
      <c r="C13" s="14"/>
      <c r="D13" s="14" t="s">
        <v>31</v>
      </c>
      <c r="E13" s="15"/>
    </row>
    <row r="14" spans="1:5" x14ac:dyDescent="0.2">
      <c r="A14" s="13">
        <v>10</v>
      </c>
      <c r="B14" s="14" t="s">
        <v>31</v>
      </c>
      <c r="C14" s="14"/>
      <c r="D14" s="14" t="s">
        <v>31</v>
      </c>
      <c r="E14" s="15"/>
    </row>
    <row r="15" spans="1:5" x14ac:dyDescent="0.2">
      <c r="A15" s="13">
        <v>11</v>
      </c>
      <c r="B15" s="14" t="s">
        <v>31</v>
      </c>
      <c r="C15" s="14"/>
      <c r="D15" s="14" t="s">
        <v>31</v>
      </c>
      <c r="E15" s="15"/>
    </row>
    <row r="16" spans="1:5" x14ac:dyDescent="0.2">
      <c r="A16" s="9">
        <v>12</v>
      </c>
      <c r="B16" s="10" t="s">
        <v>32</v>
      </c>
      <c r="C16" s="10" t="s">
        <v>33</v>
      </c>
      <c r="D16" s="10" t="s">
        <v>22</v>
      </c>
      <c r="E16" s="11"/>
    </row>
    <row r="17" spans="1:5" x14ac:dyDescent="0.2">
      <c r="A17" s="9">
        <v>13</v>
      </c>
      <c r="B17" s="12" t="s">
        <v>34</v>
      </c>
      <c r="C17" s="10" t="s">
        <v>35</v>
      </c>
      <c r="D17" s="10" t="s">
        <v>36</v>
      </c>
      <c r="E17" s="11" t="s">
        <v>37</v>
      </c>
    </row>
    <row r="18" spans="1:5" x14ac:dyDescent="0.2">
      <c r="A18" s="9">
        <v>14</v>
      </c>
      <c r="B18" s="12" t="s">
        <v>38</v>
      </c>
      <c r="C18" s="10" t="s">
        <v>39</v>
      </c>
      <c r="D18" s="10" t="s">
        <v>27</v>
      </c>
      <c r="E18" s="11"/>
    </row>
    <row r="19" spans="1:5" x14ac:dyDescent="0.2">
      <c r="A19" s="9">
        <v>15</v>
      </c>
      <c r="B19" s="12" t="s">
        <v>40</v>
      </c>
      <c r="C19" s="10" t="s">
        <v>41</v>
      </c>
      <c r="D19" s="10" t="s">
        <v>36</v>
      </c>
      <c r="E19" s="11" t="s">
        <v>37</v>
      </c>
    </row>
    <row r="20" spans="1:5" x14ac:dyDescent="0.2">
      <c r="A20" s="9">
        <v>16</v>
      </c>
      <c r="B20" s="10" t="s">
        <v>42</v>
      </c>
      <c r="C20" s="10" t="s">
        <v>21</v>
      </c>
      <c r="D20" s="10" t="s">
        <v>22</v>
      </c>
      <c r="E20" s="11"/>
    </row>
    <row r="21" spans="1:5" x14ac:dyDescent="0.2">
      <c r="A21" s="5">
        <v>17</v>
      </c>
      <c r="B21" s="6" t="s">
        <v>43</v>
      </c>
      <c r="C21" s="7" t="s">
        <v>44</v>
      </c>
      <c r="D21" s="7" t="s">
        <v>9</v>
      </c>
      <c r="E21" s="8" t="s">
        <v>45</v>
      </c>
    </row>
    <row r="22" spans="1:5" x14ac:dyDescent="0.2">
      <c r="A22" s="9">
        <v>18</v>
      </c>
      <c r="B22" s="10" t="s">
        <v>46</v>
      </c>
      <c r="C22" s="10" t="s">
        <v>47</v>
      </c>
      <c r="D22" s="10" t="s">
        <v>22</v>
      </c>
      <c r="E22" s="11"/>
    </row>
    <row r="23" spans="1:5" x14ac:dyDescent="0.2">
      <c r="A23" s="9">
        <v>19</v>
      </c>
      <c r="B23" s="10" t="s">
        <v>29</v>
      </c>
      <c r="C23" s="10" t="s">
        <v>30</v>
      </c>
      <c r="D23" s="10" t="s">
        <v>22</v>
      </c>
      <c r="E23" s="11"/>
    </row>
    <row r="24" spans="1:5" x14ac:dyDescent="0.2">
      <c r="A24" s="9">
        <v>20</v>
      </c>
      <c r="B24" s="10" t="s">
        <v>29</v>
      </c>
      <c r="C24" s="10" t="s">
        <v>30</v>
      </c>
      <c r="D24" s="10" t="s">
        <v>22</v>
      </c>
      <c r="E24" s="11"/>
    </row>
    <row r="25" spans="1:5" x14ac:dyDescent="0.2">
      <c r="A25" s="5">
        <v>21</v>
      </c>
      <c r="B25" s="6" t="s">
        <v>48</v>
      </c>
      <c r="C25" s="7" t="s">
        <v>49</v>
      </c>
      <c r="D25" s="7" t="s">
        <v>9</v>
      </c>
      <c r="E25" s="8" t="s">
        <v>50</v>
      </c>
    </row>
    <row r="26" spans="1:5" x14ac:dyDescent="0.2">
      <c r="A26" s="9">
        <v>22</v>
      </c>
      <c r="B26" s="10" t="s">
        <v>29</v>
      </c>
      <c r="C26" s="10" t="s">
        <v>30</v>
      </c>
      <c r="D26" s="10" t="s">
        <v>22</v>
      </c>
      <c r="E26" s="11"/>
    </row>
    <row r="27" spans="1:5" x14ac:dyDescent="0.2">
      <c r="A27" s="9">
        <v>23</v>
      </c>
      <c r="B27" s="12" t="s">
        <v>51</v>
      </c>
      <c r="C27" s="10" t="s">
        <v>52</v>
      </c>
      <c r="D27" s="10" t="s">
        <v>27</v>
      </c>
      <c r="E27" s="11" t="s">
        <v>53</v>
      </c>
    </row>
    <row r="28" spans="1:5" x14ac:dyDescent="0.2">
      <c r="A28" s="9">
        <v>24</v>
      </c>
      <c r="B28" s="10" t="s">
        <v>54</v>
      </c>
      <c r="C28" s="10" t="s">
        <v>55</v>
      </c>
      <c r="D28" s="10" t="s">
        <v>22</v>
      </c>
      <c r="E28" s="11"/>
    </row>
    <row r="29" spans="1:5" x14ac:dyDescent="0.2">
      <c r="A29" s="9">
        <v>25</v>
      </c>
      <c r="B29" s="12" t="s">
        <v>56</v>
      </c>
      <c r="C29" s="10" t="s">
        <v>57</v>
      </c>
      <c r="D29" s="10" t="s">
        <v>27</v>
      </c>
      <c r="E29" s="11" t="s">
        <v>58</v>
      </c>
    </row>
    <row r="30" spans="1:5" x14ac:dyDescent="0.2">
      <c r="A30" s="13">
        <v>26</v>
      </c>
      <c r="B30" s="14" t="s">
        <v>31</v>
      </c>
      <c r="C30" s="14"/>
      <c r="D30" s="14" t="s">
        <v>31</v>
      </c>
      <c r="E30" s="15"/>
    </row>
    <row r="31" spans="1:5" x14ac:dyDescent="0.2">
      <c r="A31" s="9">
        <v>27</v>
      </c>
      <c r="B31" s="12" t="s">
        <v>59</v>
      </c>
      <c r="C31" s="10" t="s">
        <v>60</v>
      </c>
      <c r="D31" s="10" t="s">
        <v>27</v>
      </c>
      <c r="E31" s="11" t="s">
        <v>58</v>
      </c>
    </row>
    <row r="32" spans="1:5" x14ac:dyDescent="0.2">
      <c r="A32" s="16">
        <v>28</v>
      </c>
      <c r="B32" s="17" t="s">
        <v>61</v>
      </c>
      <c r="C32" s="18" t="s">
        <v>62</v>
      </c>
      <c r="D32" s="18" t="s">
        <v>63</v>
      </c>
      <c r="E32" s="19" t="s">
        <v>64</v>
      </c>
    </row>
    <row r="33" spans="1:5" x14ac:dyDescent="0.2">
      <c r="A33" s="9">
        <v>29</v>
      </c>
      <c r="B33" s="12" t="s">
        <v>65</v>
      </c>
      <c r="C33" s="10" t="s">
        <v>66</v>
      </c>
      <c r="D33" s="10" t="s">
        <v>27</v>
      </c>
      <c r="E33" s="11" t="s">
        <v>67</v>
      </c>
    </row>
    <row r="34" spans="1:5" x14ac:dyDescent="0.2">
      <c r="A34" s="16">
        <v>30</v>
      </c>
      <c r="B34" s="17" t="s">
        <v>68</v>
      </c>
      <c r="C34" s="18" t="s">
        <v>62</v>
      </c>
      <c r="D34" s="18" t="s">
        <v>63</v>
      </c>
      <c r="E34" s="19" t="s">
        <v>69</v>
      </c>
    </row>
    <row r="35" spans="1:5" x14ac:dyDescent="0.2">
      <c r="A35" s="9">
        <v>31</v>
      </c>
      <c r="B35" s="12" t="s">
        <v>70</v>
      </c>
      <c r="C35" s="10" t="s">
        <v>71</v>
      </c>
      <c r="D35" s="10" t="s">
        <v>27</v>
      </c>
      <c r="E35" s="11"/>
    </row>
    <row r="36" spans="1:5" ht="28" x14ac:dyDescent="0.2">
      <c r="A36" s="20">
        <v>32</v>
      </c>
      <c r="B36" s="21" t="s">
        <v>72</v>
      </c>
      <c r="C36" s="22" t="s">
        <v>73</v>
      </c>
      <c r="D36" s="22" t="s">
        <v>74</v>
      </c>
      <c r="E36" s="23" t="s">
        <v>75</v>
      </c>
    </row>
    <row r="37" spans="1:5" x14ac:dyDescent="0.2">
      <c r="A37" s="9">
        <v>33</v>
      </c>
      <c r="B37" s="10" t="s">
        <v>76</v>
      </c>
      <c r="C37" s="10" t="s">
        <v>77</v>
      </c>
      <c r="D37" s="10" t="s">
        <v>22</v>
      </c>
      <c r="E37" s="11"/>
    </row>
    <row r="38" spans="1:5" x14ac:dyDescent="0.2">
      <c r="A38" s="5">
        <v>34</v>
      </c>
      <c r="B38" s="6" t="s">
        <v>78</v>
      </c>
      <c r="C38" s="7" t="s">
        <v>79</v>
      </c>
      <c r="D38" s="7" t="s">
        <v>9</v>
      </c>
      <c r="E38" s="8" t="s">
        <v>80</v>
      </c>
    </row>
    <row r="39" spans="1:5" x14ac:dyDescent="0.2">
      <c r="A39" s="24">
        <v>35</v>
      </c>
      <c r="B39" s="25" t="s">
        <v>81</v>
      </c>
      <c r="C39" s="26" t="s">
        <v>82</v>
      </c>
      <c r="D39" s="26" t="s">
        <v>83</v>
      </c>
      <c r="E39" s="27" t="s">
        <v>84</v>
      </c>
    </row>
    <row r="40" spans="1:5" x14ac:dyDescent="0.2">
      <c r="A40" s="24">
        <v>36</v>
      </c>
      <c r="B40" s="25" t="s">
        <v>85</v>
      </c>
      <c r="C40" s="26" t="s">
        <v>86</v>
      </c>
      <c r="D40" s="26" t="s">
        <v>83</v>
      </c>
      <c r="E40" s="27" t="s">
        <v>87</v>
      </c>
    </row>
    <row r="41" spans="1:5" x14ac:dyDescent="0.2">
      <c r="A41" s="16">
        <v>37</v>
      </c>
      <c r="B41" s="17" t="s">
        <v>88</v>
      </c>
      <c r="C41" s="18" t="s">
        <v>62</v>
      </c>
      <c r="D41" s="18" t="s">
        <v>63</v>
      </c>
      <c r="E41" s="19" t="s">
        <v>89</v>
      </c>
    </row>
    <row r="42" spans="1:5" x14ac:dyDescent="0.2">
      <c r="A42" s="24">
        <v>38</v>
      </c>
      <c r="B42" s="25" t="s">
        <v>90</v>
      </c>
      <c r="C42" s="26" t="s">
        <v>91</v>
      </c>
      <c r="D42" s="26" t="s">
        <v>83</v>
      </c>
      <c r="E42" s="27" t="s">
        <v>92</v>
      </c>
    </row>
  </sheetData>
  <autoFilter ref="A4:E42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2"/>
  <sheetViews>
    <sheetView zoomScaleNormal="100" workbookViewId="0">
      <pane ySplit="4" topLeftCell="A5" activePane="bottomLeft" state="frozen"/>
      <selection pane="bottomLeft"/>
    </sheetView>
  </sheetViews>
  <sheetFormatPr baseColWidth="10" defaultColWidth="8.6640625" defaultRowHeight="15" x14ac:dyDescent="0.2"/>
  <cols>
    <col min="1" max="1" width="6" customWidth="1"/>
    <col min="2" max="2" width="10" customWidth="1"/>
    <col min="3" max="3" width="26" customWidth="1"/>
    <col min="4" max="4" width="11" customWidth="1"/>
    <col min="5" max="5" width="72" customWidth="1"/>
  </cols>
  <sheetData>
    <row r="1" spans="1:5" ht="17" x14ac:dyDescent="0.2">
      <c r="A1" s="2" t="s">
        <v>93</v>
      </c>
    </row>
    <row r="2" spans="1:5" x14ac:dyDescent="0.2">
      <c r="A2" s="3" t="s">
        <v>1</v>
      </c>
    </row>
    <row r="4" spans="1:5" ht="19.5" customHeight="1" x14ac:dyDescent="0.2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</row>
    <row r="5" spans="1:5" x14ac:dyDescent="0.2">
      <c r="A5" s="16">
        <v>1</v>
      </c>
      <c r="B5" s="17" t="s">
        <v>94</v>
      </c>
      <c r="C5" s="18" t="s">
        <v>62</v>
      </c>
      <c r="D5" s="18" t="s">
        <v>63</v>
      </c>
      <c r="E5" s="19"/>
    </row>
    <row r="6" spans="1:5" x14ac:dyDescent="0.2">
      <c r="A6" s="28">
        <v>2</v>
      </c>
      <c r="B6" s="29" t="s">
        <v>95</v>
      </c>
      <c r="C6" s="30" t="s">
        <v>96</v>
      </c>
      <c r="D6" s="30" t="s">
        <v>97</v>
      </c>
      <c r="E6" s="31" t="s">
        <v>98</v>
      </c>
    </row>
    <row r="7" spans="1:5" x14ac:dyDescent="0.2">
      <c r="A7" s="16">
        <v>3</v>
      </c>
      <c r="B7" s="17" t="s">
        <v>99</v>
      </c>
      <c r="C7" s="18" t="s">
        <v>62</v>
      </c>
      <c r="D7" s="18" t="s">
        <v>63</v>
      </c>
      <c r="E7" s="19" t="s">
        <v>100</v>
      </c>
    </row>
    <row r="8" spans="1:5" x14ac:dyDescent="0.2">
      <c r="A8" s="28">
        <v>4</v>
      </c>
      <c r="B8" s="29" t="s">
        <v>101</v>
      </c>
      <c r="C8" s="30" t="s">
        <v>102</v>
      </c>
      <c r="D8" s="30" t="s">
        <v>97</v>
      </c>
      <c r="E8" s="31" t="s">
        <v>98</v>
      </c>
    </row>
    <row r="9" spans="1:5" x14ac:dyDescent="0.2">
      <c r="A9" s="16">
        <v>5</v>
      </c>
      <c r="B9" s="17" t="s">
        <v>103</v>
      </c>
      <c r="C9" s="18" t="s">
        <v>62</v>
      </c>
      <c r="D9" s="18" t="s">
        <v>63</v>
      </c>
      <c r="E9" s="19" t="s">
        <v>104</v>
      </c>
    </row>
    <row r="10" spans="1:5" x14ac:dyDescent="0.2">
      <c r="A10" s="16">
        <v>6</v>
      </c>
      <c r="B10" s="17" t="s">
        <v>105</v>
      </c>
      <c r="C10" s="18" t="s">
        <v>62</v>
      </c>
      <c r="D10" s="18" t="s">
        <v>63</v>
      </c>
      <c r="E10" s="19" t="s">
        <v>106</v>
      </c>
    </row>
    <row r="11" spans="1:5" x14ac:dyDescent="0.2">
      <c r="A11" s="9">
        <v>7</v>
      </c>
      <c r="B11" s="10" t="s">
        <v>107</v>
      </c>
      <c r="C11" s="10" t="s">
        <v>108</v>
      </c>
      <c r="D11" s="10" t="s">
        <v>22</v>
      </c>
      <c r="E11" s="11"/>
    </row>
    <row r="12" spans="1:5" x14ac:dyDescent="0.2">
      <c r="A12" s="9">
        <v>8</v>
      </c>
      <c r="B12" s="10" t="s">
        <v>109</v>
      </c>
      <c r="C12" s="10" t="s">
        <v>110</v>
      </c>
      <c r="D12" s="10" t="s">
        <v>22</v>
      </c>
      <c r="E12" s="11"/>
    </row>
    <row r="13" spans="1:5" x14ac:dyDescent="0.2">
      <c r="A13" s="9">
        <v>9</v>
      </c>
      <c r="B13" s="10" t="s">
        <v>29</v>
      </c>
      <c r="C13" s="10" t="s">
        <v>30</v>
      </c>
      <c r="D13" s="10" t="s">
        <v>22</v>
      </c>
      <c r="E13" s="11"/>
    </row>
    <row r="14" spans="1:5" x14ac:dyDescent="0.2">
      <c r="A14" s="13">
        <v>10</v>
      </c>
      <c r="B14" s="14" t="s">
        <v>31</v>
      </c>
      <c r="C14" s="14"/>
      <c r="D14" s="14" t="s">
        <v>31</v>
      </c>
      <c r="E14" s="15"/>
    </row>
    <row r="15" spans="1:5" x14ac:dyDescent="0.2">
      <c r="A15" s="20">
        <v>11</v>
      </c>
      <c r="B15" s="21" t="s">
        <v>111</v>
      </c>
      <c r="C15" s="22" t="s">
        <v>112</v>
      </c>
      <c r="D15" s="22" t="s">
        <v>74</v>
      </c>
      <c r="E15" s="23" t="s">
        <v>113</v>
      </c>
    </row>
    <row r="16" spans="1:5" x14ac:dyDescent="0.2">
      <c r="A16" s="28">
        <v>12</v>
      </c>
      <c r="B16" s="29" t="s">
        <v>114</v>
      </c>
      <c r="C16" s="30" t="s">
        <v>115</v>
      </c>
      <c r="D16" s="30" t="s">
        <v>97</v>
      </c>
      <c r="E16" s="31" t="s">
        <v>116</v>
      </c>
    </row>
    <row r="17" spans="1:5" x14ac:dyDescent="0.2">
      <c r="A17" s="20">
        <v>13</v>
      </c>
      <c r="B17" s="21" t="s">
        <v>117</v>
      </c>
      <c r="C17" s="22" t="s">
        <v>118</v>
      </c>
      <c r="D17" s="22" t="s">
        <v>74</v>
      </c>
      <c r="E17" s="23"/>
    </row>
    <row r="18" spans="1:5" x14ac:dyDescent="0.2">
      <c r="A18" s="28">
        <v>14</v>
      </c>
      <c r="B18" s="29" t="s">
        <v>119</v>
      </c>
      <c r="C18" s="30" t="s">
        <v>120</v>
      </c>
      <c r="D18" s="30" t="s">
        <v>97</v>
      </c>
      <c r="E18" s="31" t="s">
        <v>121</v>
      </c>
    </row>
    <row r="19" spans="1:5" x14ac:dyDescent="0.2">
      <c r="A19" s="20">
        <v>15</v>
      </c>
      <c r="B19" s="21" t="s">
        <v>122</v>
      </c>
      <c r="C19" s="22" t="s">
        <v>123</v>
      </c>
      <c r="D19" s="22" t="s">
        <v>74</v>
      </c>
      <c r="E19" s="23"/>
    </row>
    <row r="20" spans="1:5" x14ac:dyDescent="0.2">
      <c r="A20" s="28">
        <v>16</v>
      </c>
      <c r="B20" s="29" t="s">
        <v>124</v>
      </c>
      <c r="C20" s="30" t="s">
        <v>125</v>
      </c>
      <c r="D20" s="30" t="s">
        <v>97</v>
      </c>
      <c r="E20" s="31" t="s">
        <v>98</v>
      </c>
    </row>
    <row r="21" spans="1:5" x14ac:dyDescent="0.2">
      <c r="A21" s="28">
        <v>17</v>
      </c>
      <c r="B21" s="29" t="s">
        <v>126</v>
      </c>
      <c r="C21" s="30" t="s">
        <v>127</v>
      </c>
      <c r="D21" s="30" t="s">
        <v>97</v>
      </c>
      <c r="E21" s="31" t="s">
        <v>98</v>
      </c>
    </row>
    <row r="22" spans="1:5" x14ac:dyDescent="0.2">
      <c r="A22" s="16">
        <v>18</v>
      </c>
      <c r="B22" s="17" t="s">
        <v>128</v>
      </c>
      <c r="C22" s="18" t="s">
        <v>62</v>
      </c>
      <c r="D22" s="18" t="s">
        <v>63</v>
      </c>
      <c r="E22" s="19"/>
    </row>
    <row r="23" spans="1:5" x14ac:dyDescent="0.2">
      <c r="A23" s="28">
        <v>19</v>
      </c>
      <c r="B23" s="29" t="s">
        <v>129</v>
      </c>
      <c r="C23" s="30" t="s">
        <v>130</v>
      </c>
      <c r="D23" s="30" t="s">
        <v>97</v>
      </c>
      <c r="E23" s="31" t="s">
        <v>131</v>
      </c>
    </row>
    <row r="24" spans="1:5" x14ac:dyDescent="0.2">
      <c r="A24" s="9">
        <v>20</v>
      </c>
      <c r="B24" s="10" t="s">
        <v>29</v>
      </c>
      <c r="C24" s="10" t="s">
        <v>30</v>
      </c>
      <c r="D24" s="10" t="s">
        <v>22</v>
      </c>
      <c r="E24" s="11"/>
    </row>
    <row r="25" spans="1:5" x14ac:dyDescent="0.2">
      <c r="A25" s="28">
        <v>21</v>
      </c>
      <c r="B25" s="29" t="s">
        <v>132</v>
      </c>
      <c r="C25" s="30" t="s">
        <v>133</v>
      </c>
      <c r="D25" s="30" t="s">
        <v>97</v>
      </c>
      <c r="E25" s="31" t="s">
        <v>134</v>
      </c>
    </row>
    <row r="26" spans="1:5" x14ac:dyDescent="0.2">
      <c r="A26" s="28">
        <v>22</v>
      </c>
      <c r="B26" s="29" t="s">
        <v>135</v>
      </c>
      <c r="C26" s="30" t="s">
        <v>136</v>
      </c>
      <c r="D26" s="30" t="s">
        <v>97</v>
      </c>
      <c r="E26" s="31" t="s">
        <v>137</v>
      </c>
    </row>
    <row r="27" spans="1:5" x14ac:dyDescent="0.2">
      <c r="A27" s="28">
        <v>23</v>
      </c>
      <c r="B27" s="29" t="s">
        <v>138</v>
      </c>
      <c r="C27" s="30" t="s">
        <v>139</v>
      </c>
      <c r="D27" s="30" t="s">
        <v>97</v>
      </c>
      <c r="E27" s="31" t="s">
        <v>140</v>
      </c>
    </row>
    <row r="28" spans="1:5" x14ac:dyDescent="0.2">
      <c r="A28" s="28">
        <v>24</v>
      </c>
      <c r="B28" s="29" t="s">
        <v>141</v>
      </c>
      <c r="C28" s="30" t="s">
        <v>142</v>
      </c>
      <c r="D28" s="30" t="s">
        <v>97</v>
      </c>
      <c r="E28" s="31" t="s">
        <v>98</v>
      </c>
    </row>
    <row r="29" spans="1:5" x14ac:dyDescent="0.2">
      <c r="A29" s="28">
        <v>25</v>
      </c>
      <c r="B29" s="29" t="s">
        <v>143</v>
      </c>
      <c r="C29" s="30" t="s">
        <v>144</v>
      </c>
      <c r="D29" s="30" t="s">
        <v>97</v>
      </c>
      <c r="E29" s="31" t="s">
        <v>131</v>
      </c>
    </row>
    <row r="30" spans="1:5" x14ac:dyDescent="0.2">
      <c r="A30" s="28">
        <v>26</v>
      </c>
      <c r="B30" s="29" t="s">
        <v>145</v>
      </c>
      <c r="C30" s="30" t="s">
        <v>146</v>
      </c>
      <c r="D30" s="30" t="s">
        <v>97</v>
      </c>
      <c r="E30" s="31" t="s">
        <v>131</v>
      </c>
    </row>
    <row r="31" spans="1:5" x14ac:dyDescent="0.2">
      <c r="A31" s="28">
        <v>27</v>
      </c>
      <c r="B31" s="29" t="s">
        <v>147</v>
      </c>
      <c r="C31" s="30" t="s">
        <v>148</v>
      </c>
      <c r="D31" s="30" t="s">
        <v>97</v>
      </c>
      <c r="E31" s="31" t="s">
        <v>149</v>
      </c>
    </row>
    <row r="32" spans="1:5" x14ac:dyDescent="0.2">
      <c r="A32" s="28">
        <v>28</v>
      </c>
      <c r="B32" s="29" t="s">
        <v>150</v>
      </c>
      <c r="C32" s="30" t="s">
        <v>151</v>
      </c>
      <c r="D32" s="30" t="s">
        <v>97</v>
      </c>
      <c r="E32" s="31" t="s">
        <v>98</v>
      </c>
    </row>
    <row r="33" spans="1:5" x14ac:dyDescent="0.2">
      <c r="A33" s="28">
        <v>29</v>
      </c>
      <c r="B33" s="29" t="s">
        <v>152</v>
      </c>
      <c r="C33" s="30" t="s">
        <v>153</v>
      </c>
      <c r="D33" s="30" t="s">
        <v>97</v>
      </c>
      <c r="E33" s="31" t="s">
        <v>131</v>
      </c>
    </row>
    <row r="34" spans="1:5" x14ac:dyDescent="0.2">
      <c r="A34" s="28">
        <v>30</v>
      </c>
      <c r="B34" s="29" t="s">
        <v>154</v>
      </c>
      <c r="C34" s="30" t="s">
        <v>155</v>
      </c>
      <c r="D34" s="30" t="s">
        <v>97</v>
      </c>
      <c r="E34" s="31" t="s">
        <v>131</v>
      </c>
    </row>
    <row r="35" spans="1:5" x14ac:dyDescent="0.2">
      <c r="A35" s="9">
        <v>31</v>
      </c>
      <c r="B35" s="12" t="s">
        <v>156</v>
      </c>
      <c r="C35" s="10" t="s">
        <v>157</v>
      </c>
      <c r="D35" s="10" t="s">
        <v>36</v>
      </c>
      <c r="E35" s="11" t="s">
        <v>158</v>
      </c>
    </row>
    <row r="36" spans="1:5" x14ac:dyDescent="0.2">
      <c r="A36" s="9">
        <v>32</v>
      </c>
      <c r="B36" s="10" t="s">
        <v>159</v>
      </c>
      <c r="C36" s="10" t="s">
        <v>160</v>
      </c>
      <c r="D36" s="10" t="s">
        <v>22</v>
      </c>
      <c r="E36" s="11"/>
    </row>
    <row r="37" spans="1:5" x14ac:dyDescent="0.2">
      <c r="A37" s="28">
        <v>33</v>
      </c>
      <c r="B37" s="29" t="s">
        <v>161</v>
      </c>
      <c r="C37" s="30" t="s">
        <v>162</v>
      </c>
      <c r="D37" s="30" t="s">
        <v>97</v>
      </c>
      <c r="E37" s="31" t="s">
        <v>163</v>
      </c>
    </row>
    <row r="38" spans="1:5" x14ac:dyDescent="0.2">
      <c r="A38" s="16">
        <v>34</v>
      </c>
      <c r="B38" s="17" t="s">
        <v>164</v>
      </c>
      <c r="C38" s="18" t="s">
        <v>62</v>
      </c>
      <c r="D38" s="18" t="s">
        <v>63</v>
      </c>
      <c r="E38" s="19" t="s">
        <v>165</v>
      </c>
    </row>
    <row r="39" spans="1:5" x14ac:dyDescent="0.2">
      <c r="A39" s="9">
        <v>35</v>
      </c>
      <c r="B39" s="12" t="s">
        <v>166</v>
      </c>
      <c r="C39" s="10" t="s">
        <v>167</v>
      </c>
      <c r="D39" s="10" t="s">
        <v>27</v>
      </c>
      <c r="E39" s="11" t="s">
        <v>168</v>
      </c>
    </row>
    <row r="40" spans="1:5" x14ac:dyDescent="0.2">
      <c r="A40" s="13">
        <v>36</v>
      </c>
      <c r="B40" s="14" t="s">
        <v>31</v>
      </c>
      <c r="C40" s="14"/>
      <c r="D40" s="14" t="s">
        <v>31</v>
      </c>
      <c r="E40" s="15"/>
    </row>
    <row r="41" spans="1:5" x14ac:dyDescent="0.2">
      <c r="A41" s="9">
        <v>37</v>
      </c>
      <c r="B41" s="12" t="s">
        <v>169</v>
      </c>
      <c r="C41" s="10" t="s">
        <v>170</v>
      </c>
      <c r="D41" s="10" t="s">
        <v>27</v>
      </c>
      <c r="E41" s="11" t="s">
        <v>168</v>
      </c>
    </row>
    <row r="42" spans="1:5" x14ac:dyDescent="0.2">
      <c r="A42" s="13">
        <v>38</v>
      </c>
      <c r="B42" s="14" t="s">
        <v>31</v>
      </c>
      <c r="C42" s="14"/>
      <c r="D42" s="14" t="s">
        <v>31</v>
      </c>
      <c r="E42" s="15"/>
    </row>
  </sheetData>
  <autoFilter ref="A4:E42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tabSelected="1" zoomScaleNormal="100" workbookViewId="0">
      <pane ySplit="4" topLeftCell="A5" activePane="bottomLeft" state="frozen"/>
      <selection pane="bottomLeft"/>
    </sheetView>
  </sheetViews>
  <sheetFormatPr baseColWidth="10" defaultColWidth="8.6640625" defaultRowHeight="15" x14ac:dyDescent="0.2"/>
  <cols>
    <col min="1" max="1" width="15" customWidth="1"/>
    <col min="2" max="2" width="24" customWidth="1"/>
    <col min="3" max="3" width="10" customWidth="1"/>
    <col min="4" max="5" width="11" customWidth="1"/>
    <col min="6" max="6" width="46" customWidth="1"/>
  </cols>
  <sheetData>
    <row r="1" spans="1:6" ht="17" x14ac:dyDescent="0.2">
      <c r="A1" s="2" t="s">
        <v>171</v>
      </c>
    </row>
    <row r="2" spans="1:6" x14ac:dyDescent="0.2">
      <c r="A2" s="3" t="s">
        <v>172</v>
      </c>
    </row>
    <row r="4" spans="1:6" ht="19.5" customHeight="1" x14ac:dyDescent="0.2">
      <c r="A4" s="4" t="s">
        <v>173</v>
      </c>
      <c r="B4" s="4" t="s">
        <v>3</v>
      </c>
      <c r="C4" s="4" t="s">
        <v>174</v>
      </c>
      <c r="D4" s="4" t="s">
        <v>175</v>
      </c>
      <c r="E4" s="4" t="s">
        <v>176</v>
      </c>
      <c r="F4" s="4" t="s">
        <v>6</v>
      </c>
    </row>
    <row r="5" spans="1:6" x14ac:dyDescent="0.2">
      <c r="A5" s="6" t="s">
        <v>177</v>
      </c>
      <c r="B5" s="7" t="s">
        <v>178</v>
      </c>
      <c r="C5" s="6" t="s">
        <v>43</v>
      </c>
      <c r="D5" s="5" t="s">
        <v>179</v>
      </c>
      <c r="E5" s="5">
        <v>17</v>
      </c>
      <c r="F5" s="8" t="s">
        <v>180</v>
      </c>
    </row>
    <row r="6" spans="1:6" x14ac:dyDescent="0.2">
      <c r="A6" s="6"/>
      <c r="B6" s="7" t="s">
        <v>181</v>
      </c>
      <c r="C6" s="6" t="s">
        <v>48</v>
      </c>
      <c r="D6" s="5" t="s">
        <v>179</v>
      </c>
      <c r="E6" s="5">
        <v>21</v>
      </c>
      <c r="F6" s="8" t="s">
        <v>182</v>
      </c>
    </row>
    <row r="7" spans="1:6" x14ac:dyDescent="0.2">
      <c r="A7" s="6"/>
      <c r="B7" s="7" t="s">
        <v>183</v>
      </c>
      <c r="C7" s="6" t="s">
        <v>78</v>
      </c>
      <c r="D7" s="5" t="s">
        <v>179</v>
      </c>
      <c r="E7" s="5">
        <v>34</v>
      </c>
      <c r="F7" s="8" t="s">
        <v>184</v>
      </c>
    </row>
    <row r="8" spans="1:6" x14ac:dyDescent="0.2">
      <c r="A8" s="6" t="s">
        <v>185</v>
      </c>
      <c r="B8" s="7" t="s">
        <v>186</v>
      </c>
      <c r="C8" s="6" t="s">
        <v>7</v>
      </c>
      <c r="D8" s="5" t="s">
        <v>179</v>
      </c>
      <c r="E8" s="5">
        <v>1</v>
      </c>
      <c r="F8" s="8"/>
    </row>
    <row r="9" spans="1:6" x14ac:dyDescent="0.2">
      <c r="A9" s="6"/>
      <c r="B9" s="7" t="s">
        <v>187</v>
      </c>
      <c r="C9" s="6" t="s">
        <v>11</v>
      </c>
      <c r="D9" s="5" t="s">
        <v>179</v>
      </c>
      <c r="E9" s="5">
        <v>2</v>
      </c>
      <c r="F9" s="8"/>
    </row>
    <row r="10" spans="1:6" x14ac:dyDescent="0.2">
      <c r="A10" s="6"/>
      <c r="B10" s="7" t="s">
        <v>188</v>
      </c>
      <c r="C10" s="6" t="s">
        <v>14</v>
      </c>
      <c r="D10" s="5" t="s">
        <v>179</v>
      </c>
      <c r="E10" s="5">
        <v>3</v>
      </c>
      <c r="F10" s="8"/>
    </row>
    <row r="11" spans="1:6" x14ac:dyDescent="0.2">
      <c r="A11" s="6"/>
      <c r="B11" s="7" t="s">
        <v>189</v>
      </c>
      <c r="C11" s="6" t="s">
        <v>17</v>
      </c>
      <c r="D11" s="5" t="s">
        <v>179</v>
      </c>
      <c r="E11" s="5">
        <v>4</v>
      </c>
      <c r="F11" s="8"/>
    </row>
    <row r="12" spans="1:6" x14ac:dyDescent="0.2">
      <c r="A12" s="29" t="s">
        <v>190</v>
      </c>
      <c r="B12" s="30" t="s">
        <v>191</v>
      </c>
      <c r="C12" s="29" t="s">
        <v>138</v>
      </c>
      <c r="D12" s="28" t="s">
        <v>192</v>
      </c>
      <c r="E12" s="28">
        <v>23</v>
      </c>
      <c r="F12" s="31" t="s">
        <v>193</v>
      </c>
    </row>
    <row r="13" spans="1:6" x14ac:dyDescent="0.2">
      <c r="A13" s="29"/>
      <c r="B13" s="30" t="s">
        <v>194</v>
      </c>
      <c r="C13" s="29" t="s">
        <v>132</v>
      </c>
      <c r="D13" s="28" t="s">
        <v>192</v>
      </c>
      <c r="E13" s="28">
        <v>21</v>
      </c>
      <c r="F13" s="31" t="s">
        <v>195</v>
      </c>
    </row>
    <row r="14" spans="1:6" x14ac:dyDescent="0.2">
      <c r="A14" s="29"/>
      <c r="B14" s="30" t="s">
        <v>196</v>
      </c>
      <c r="C14" s="29" t="s">
        <v>161</v>
      </c>
      <c r="D14" s="28" t="s">
        <v>192</v>
      </c>
      <c r="E14" s="28">
        <v>33</v>
      </c>
      <c r="F14" s="31" t="s">
        <v>197</v>
      </c>
    </row>
    <row r="15" spans="1:6" x14ac:dyDescent="0.2">
      <c r="A15" s="29"/>
      <c r="B15" s="30" t="s">
        <v>198</v>
      </c>
      <c r="C15" s="29" t="s">
        <v>119</v>
      </c>
      <c r="D15" s="28" t="s">
        <v>192</v>
      </c>
      <c r="E15" s="28">
        <v>14</v>
      </c>
      <c r="F15" s="31" t="s">
        <v>199</v>
      </c>
    </row>
    <row r="16" spans="1:6" x14ac:dyDescent="0.2">
      <c r="A16" s="29" t="s">
        <v>200</v>
      </c>
      <c r="B16" s="30" t="s">
        <v>201</v>
      </c>
      <c r="C16" s="29" t="s">
        <v>114</v>
      </c>
      <c r="D16" s="28" t="s">
        <v>192</v>
      </c>
      <c r="E16" s="28">
        <v>12</v>
      </c>
      <c r="F16" s="31"/>
    </row>
    <row r="17" spans="1:6" x14ac:dyDescent="0.2">
      <c r="A17" s="25" t="s">
        <v>83</v>
      </c>
      <c r="B17" s="26" t="s">
        <v>202</v>
      </c>
      <c r="C17" s="25" t="s">
        <v>90</v>
      </c>
      <c r="D17" s="24" t="s">
        <v>179</v>
      </c>
      <c r="E17" s="24">
        <v>38</v>
      </c>
      <c r="F17" s="27" t="s">
        <v>92</v>
      </c>
    </row>
    <row r="18" spans="1:6" x14ac:dyDescent="0.2">
      <c r="A18" s="25"/>
      <c r="B18" s="26" t="s">
        <v>203</v>
      </c>
      <c r="C18" s="25" t="s">
        <v>85</v>
      </c>
      <c r="D18" s="24" t="s">
        <v>179</v>
      </c>
      <c r="E18" s="24">
        <v>36</v>
      </c>
      <c r="F18" s="27" t="s">
        <v>204</v>
      </c>
    </row>
    <row r="19" spans="1:6" x14ac:dyDescent="0.2">
      <c r="A19" s="25"/>
      <c r="B19" s="26" t="s">
        <v>205</v>
      </c>
      <c r="C19" s="25" t="s">
        <v>81</v>
      </c>
      <c r="D19" s="24" t="s">
        <v>179</v>
      </c>
      <c r="E19" s="24">
        <v>35</v>
      </c>
      <c r="F19" s="27" t="s">
        <v>206</v>
      </c>
    </row>
    <row r="20" spans="1:6" x14ac:dyDescent="0.2">
      <c r="A20" s="29" t="s">
        <v>207</v>
      </c>
      <c r="B20" s="30" t="s">
        <v>208</v>
      </c>
      <c r="C20" s="29" t="s">
        <v>95</v>
      </c>
      <c r="D20" s="28" t="s">
        <v>192</v>
      </c>
      <c r="E20" s="28">
        <v>2</v>
      </c>
      <c r="F20" s="31"/>
    </row>
    <row r="21" spans="1:6" x14ac:dyDescent="0.2">
      <c r="A21" s="29"/>
      <c r="B21" s="30" t="s">
        <v>209</v>
      </c>
      <c r="C21" s="29" t="s">
        <v>101</v>
      </c>
      <c r="D21" s="28" t="s">
        <v>192</v>
      </c>
      <c r="E21" s="28">
        <v>4</v>
      </c>
      <c r="F21" s="31"/>
    </row>
    <row r="22" spans="1:6" x14ac:dyDescent="0.2">
      <c r="A22" s="29"/>
      <c r="B22" s="30" t="s">
        <v>210</v>
      </c>
      <c r="C22" s="29" t="s">
        <v>129</v>
      </c>
      <c r="D22" s="28" t="s">
        <v>192</v>
      </c>
      <c r="E22" s="28">
        <v>19</v>
      </c>
      <c r="F22" s="31"/>
    </row>
    <row r="23" spans="1:6" x14ac:dyDescent="0.2">
      <c r="A23" s="29"/>
      <c r="B23" s="30" t="s">
        <v>211</v>
      </c>
      <c r="C23" s="29" t="s">
        <v>124</v>
      </c>
      <c r="D23" s="28" t="s">
        <v>192</v>
      </c>
      <c r="E23" s="28">
        <v>16</v>
      </c>
      <c r="F23" s="31"/>
    </row>
    <row r="24" spans="1:6" x14ac:dyDescent="0.2">
      <c r="A24" s="29"/>
      <c r="B24" s="30" t="s">
        <v>212</v>
      </c>
      <c r="C24" s="29" t="s">
        <v>154</v>
      </c>
      <c r="D24" s="28" t="s">
        <v>192</v>
      </c>
      <c r="E24" s="28">
        <v>30</v>
      </c>
      <c r="F24" s="31"/>
    </row>
    <row r="25" spans="1:6" x14ac:dyDescent="0.2">
      <c r="A25" s="29"/>
      <c r="B25" s="30" t="s">
        <v>213</v>
      </c>
      <c r="C25" s="29" t="s">
        <v>150</v>
      </c>
      <c r="D25" s="28" t="s">
        <v>192</v>
      </c>
      <c r="E25" s="28">
        <v>28</v>
      </c>
      <c r="F25" s="31"/>
    </row>
    <row r="26" spans="1:6" x14ac:dyDescent="0.2">
      <c r="A26" s="29"/>
      <c r="B26" s="30" t="s">
        <v>214</v>
      </c>
      <c r="C26" s="29" t="s">
        <v>145</v>
      </c>
      <c r="D26" s="28" t="s">
        <v>192</v>
      </c>
      <c r="E26" s="28">
        <v>26</v>
      </c>
      <c r="F26" s="31"/>
    </row>
    <row r="27" spans="1:6" x14ac:dyDescent="0.2">
      <c r="A27" s="29"/>
      <c r="B27" s="30" t="s">
        <v>215</v>
      </c>
      <c r="C27" s="29" t="s">
        <v>141</v>
      </c>
      <c r="D27" s="28" t="s">
        <v>192</v>
      </c>
      <c r="E27" s="28">
        <v>24</v>
      </c>
      <c r="F27" s="31"/>
    </row>
    <row r="28" spans="1:6" x14ac:dyDescent="0.2">
      <c r="A28" s="29"/>
      <c r="B28" s="30" t="s">
        <v>216</v>
      </c>
      <c r="C28" s="29" t="s">
        <v>135</v>
      </c>
      <c r="D28" s="28" t="s">
        <v>192</v>
      </c>
      <c r="E28" s="28">
        <v>22</v>
      </c>
      <c r="F28" s="31"/>
    </row>
    <row r="29" spans="1:6" x14ac:dyDescent="0.2">
      <c r="A29" s="29"/>
      <c r="B29" s="30" t="s">
        <v>217</v>
      </c>
      <c r="C29" s="29" t="s">
        <v>147</v>
      </c>
      <c r="D29" s="28" t="s">
        <v>192</v>
      </c>
      <c r="E29" s="28">
        <v>27</v>
      </c>
      <c r="F29" s="31"/>
    </row>
    <row r="30" spans="1:6" x14ac:dyDescent="0.2">
      <c r="A30" s="29"/>
      <c r="B30" s="30" t="s">
        <v>218</v>
      </c>
      <c r="C30" s="29" t="s">
        <v>152</v>
      </c>
      <c r="D30" s="28" t="s">
        <v>192</v>
      </c>
      <c r="E30" s="28">
        <v>29</v>
      </c>
      <c r="F30" s="31"/>
    </row>
    <row r="31" spans="1:6" x14ac:dyDescent="0.2">
      <c r="A31" s="29"/>
      <c r="B31" s="30" t="s">
        <v>219</v>
      </c>
      <c r="C31" s="29" t="s">
        <v>126</v>
      </c>
      <c r="D31" s="28" t="s">
        <v>192</v>
      </c>
      <c r="E31" s="28">
        <v>17</v>
      </c>
      <c r="F31" s="31"/>
    </row>
    <row r="32" spans="1:6" x14ac:dyDescent="0.2">
      <c r="A32" s="29"/>
      <c r="B32" s="30" t="s">
        <v>220</v>
      </c>
      <c r="C32" s="29" t="s">
        <v>143</v>
      </c>
      <c r="D32" s="28" t="s">
        <v>192</v>
      </c>
      <c r="E32" s="28">
        <v>25</v>
      </c>
      <c r="F32" s="31"/>
    </row>
    <row r="33" spans="1:6" x14ac:dyDescent="0.2">
      <c r="A33" s="21" t="s">
        <v>221</v>
      </c>
      <c r="B33" s="22" t="s">
        <v>112</v>
      </c>
      <c r="C33" s="21" t="s">
        <v>111</v>
      </c>
      <c r="D33" s="20" t="s">
        <v>192</v>
      </c>
      <c r="E33" s="20">
        <v>11</v>
      </c>
      <c r="F33" s="23" t="s">
        <v>222</v>
      </c>
    </row>
    <row r="34" spans="1:6" x14ac:dyDescent="0.2">
      <c r="A34" s="21"/>
      <c r="B34" s="22" t="s">
        <v>118</v>
      </c>
      <c r="C34" s="21" t="s">
        <v>117</v>
      </c>
      <c r="D34" s="20" t="s">
        <v>192</v>
      </c>
      <c r="E34" s="20">
        <v>13</v>
      </c>
      <c r="F34" s="23"/>
    </row>
    <row r="35" spans="1:6" x14ac:dyDescent="0.2">
      <c r="A35" s="21"/>
      <c r="B35" s="22" t="s">
        <v>123</v>
      </c>
      <c r="C35" s="21" t="s">
        <v>122</v>
      </c>
      <c r="D35" s="20" t="s">
        <v>192</v>
      </c>
      <c r="E35" s="20">
        <v>15</v>
      </c>
      <c r="F35" s="23"/>
    </row>
    <row r="36" spans="1:6" x14ac:dyDescent="0.2">
      <c r="A36" s="21"/>
      <c r="B36" s="22" t="s">
        <v>223</v>
      </c>
      <c r="C36" s="21" t="s">
        <v>72</v>
      </c>
      <c r="D36" s="20" t="s">
        <v>179</v>
      </c>
      <c r="E36" s="20">
        <v>32</v>
      </c>
      <c r="F36" s="23" t="s">
        <v>224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8"/>
  <sheetViews>
    <sheetView zoomScaleNormal="100" workbookViewId="0"/>
  </sheetViews>
  <sheetFormatPr baseColWidth="10" defaultColWidth="8.6640625" defaultRowHeight="15" x14ac:dyDescent="0.2"/>
  <cols>
    <col min="1" max="1" width="38" customWidth="1"/>
    <col min="2" max="3" width="12" customWidth="1"/>
    <col min="4" max="4" width="14" customWidth="1"/>
    <col min="5" max="5" width="44" customWidth="1"/>
  </cols>
  <sheetData>
    <row r="1" spans="1:5" ht="17" x14ac:dyDescent="0.2">
      <c r="A1" s="2" t="s">
        <v>225</v>
      </c>
    </row>
    <row r="3" spans="1:5" ht="19.5" customHeight="1" x14ac:dyDescent="0.2">
      <c r="A3" s="4" t="s">
        <v>174</v>
      </c>
      <c r="B3" s="4" t="s">
        <v>175</v>
      </c>
      <c r="C3" s="4" t="s">
        <v>176</v>
      </c>
      <c r="D3" s="4" t="s">
        <v>226</v>
      </c>
      <c r="E3" s="4" t="s">
        <v>227</v>
      </c>
    </row>
    <row r="4" spans="1:5" x14ac:dyDescent="0.2">
      <c r="A4" s="32" t="s">
        <v>61</v>
      </c>
      <c r="B4" s="33" t="s">
        <v>179</v>
      </c>
      <c r="C4" s="33">
        <v>28</v>
      </c>
      <c r="D4" s="33" t="s">
        <v>228</v>
      </c>
      <c r="E4" s="34" t="s">
        <v>229</v>
      </c>
    </row>
    <row r="5" spans="1:5" x14ac:dyDescent="0.2">
      <c r="A5" s="32" t="s">
        <v>68</v>
      </c>
      <c r="B5" s="33" t="s">
        <v>179</v>
      </c>
      <c r="C5" s="33">
        <v>30</v>
      </c>
      <c r="D5" s="33" t="s">
        <v>228</v>
      </c>
      <c r="E5" s="34" t="s">
        <v>230</v>
      </c>
    </row>
    <row r="6" spans="1:5" x14ac:dyDescent="0.2">
      <c r="A6" s="32" t="s">
        <v>88</v>
      </c>
      <c r="B6" s="33" t="s">
        <v>179</v>
      </c>
      <c r="C6" s="33">
        <v>37</v>
      </c>
      <c r="D6" s="33" t="s">
        <v>228</v>
      </c>
      <c r="E6" s="34" t="s">
        <v>231</v>
      </c>
    </row>
    <row r="7" spans="1:5" x14ac:dyDescent="0.2">
      <c r="A7" s="32" t="s">
        <v>164</v>
      </c>
      <c r="B7" s="33" t="s">
        <v>192</v>
      </c>
      <c r="C7" s="33">
        <v>34</v>
      </c>
      <c r="D7" s="33" t="s">
        <v>228</v>
      </c>
      <c r="E7" s="34" t="s">
        <v>232</v>
      </c>
    </row>
    <row r="8" spans="1:5" x14ac:dyDescent="0.2">
      <c r="A8" s="32" t="s">
        <v>105</v>
      </c>
      <c r="B8" s="33" t="s">
        <v>192</v>
      </c>
      <c r="C8" s="33">
        <v>6</v>
      </c>
      <c r="D8" s="33" t="s">
        <v>228</v>
      </c>
      <c r="E8" s="34" t="s">
        <v>233</v>
      </c>
    </row>
    <row r="9" spans="1:5" x14ac:dyDescent="0.2">
      <c r="A9" s="32" t="s">
        <v>94</v>
      </c>
      <c r="B9" s="33" t="s">
        <v>192</v>
      </c>
      <c r="C9" s="33">
        <v>1</v>
      </c>
      <c r="D9" s="33" t="s">
        <v>234</v>
      </c>
      <c r="E9" s="34" t="s">
        <v>235</v>
      </c>
    </row>
    <row r="10" spans="1:5" x14ac:dyDescent="0.2">
      <c r="A10" s="32" t="s">
        <v>128</v>
      </c>
      <c r="B10" s="33" t="s">
        <v>192</v>
      </c>
      <c r="C10" s="33">
        <v>18</v>
      </c>
      <c r="D10" s="33" t="s">
        <v>234</v>
      </c>
      <c r="E10" s="34" t="s">
        <v>236</v>
      </c>
    </row>
    <row r="11" spans="1:5" x14ac:dyDescent="0.2">
      <c r="A11" s="32" t="s">
        <v>99</v>
      </c>
      <c r="B11" s="33" t="s">
        <v>192</v>
      </c>
      <c r="C11" s="33">
        <v>3</v>
      </c>
      <c r="D11" s="33" t="s">
        <v>234</v>
      </c>
      <c r="E11" s="34" t="s">
        <v>237</v>
      </c>
    </row>
    <row r="12" spans="1:5" x14ac:dyDescent="0.2">
      <c r="A12" s="32" t="s">
        <v>103</v>
      </c>
      <c r="B12" s="33" t="s">
        <v>192</v>
      </c>
      <c r="C12" s="33">
        <v>5</v>
      </c>
      <c r="D12" s="33" t="s">
        <v>234</v>
      </c>
      <c r="E12" s="34" t="s">
        <v>238</v>
      </c>
    </row>
    <row r="14" spans="1:5" x14ac:dyDescent="0.2">
      <c r="A14" s="35" t="s">
        <v>239</v>
      </c>
    </row>
    <row r="15" spans="1:5" x14ac:dyDescent="0.2">
      <c r="A15" s="36" t="s">
        <v>240</v>
      </c>
      <c r="B15" s="37">
        <f>COUNTIF('CN7'!$D$5:$D$42,"Input")+COUNTIF('CN10'!$D$5:$D$42,"Input")</f>
        <v>7</v>
      </c>
    </row>
    <row r="16" spans="1:5" x14ac:dyDescent="0.2">
      <c r="A16" s="36" t="s">
        <v>241</v>
      </c>
      <c r="B16" s="37">
        <f>COUNTIF('CN7'!$D$5:$D$42,"Output")+COUNTIF('CN10'!$D$5:$D$42,"Output")</f>
        <v>18</v>
      </c>
    </row>
    <row r="17" spans="1:5" x14ac:dyDescent="0.2">
      <c r="A17" s="36" t="s">
        <v>242</v>
      </c>
      <c r="B17" s="37">
        <f>COUNTIF('CN7'!$D$5:$D$42,"Analog")+COUNTIF('CN10'!$D$5:$D$42,"Analog")</f>
        <v>3</v>
      </c>
    </row>
    <row r="18" spans="1:5" x14ac:dyDescent="0.2">
      <c r="A18" s="36" t="s">
        <v>243</v>
      </c>
      <c r="B18" s="37">
        <f>COUNTIF('CN7'!$D$5:$D$42,"SPI")+COUNTIF('CN10'!$D$5:$D$42,"SPI")</f>
        <v>4</v>
      </c>
    </row>
    <row r="19" spans="1:5" x14ac:dyDescent="0.2">
      <c r="A19" s="38" t="s">
        <v>244</v>
      </c>
      <c r="B19" s="37">
        <f>SUM(B15:B18)</f>
        <v>32</v>
      </c>
    </row>
    <row r="20" spans="1:5" x14ac:dyDescent="0.2">
      <c r="A20" s="36" t="s">
        <v>245</v>
      </c>
      <c r="B20" s="37">
        <f>COUNTIF('CN7'!$D$5:$D$42,"Free")+COUNTIF('CN10'!$D$5:$D$42,"Free")</f>
        <v>9</v>
      </c>
    </row>
    <row r="22" spans="1:5" x14ac:dyDescent="0.2">
      <c r="A22" s="35" t="s">
        <v>6</v>
      </c>
    </row>
    <row r="23" spans="1:5" ht="25.5" customHeight="1" x14ac:dyDescent="0.2">
      <c r="A23" s="1" t="s">
        <v>246</v>
      </c>
      <c r="B23" s="1"/>
      <c r="C23" s="1"/>
      <c r="D23" s="1"/>
      <c r="E23" s="1"/>
    </row>
    <row r="24" spans="1:5" ht="25.5" customHeight="1" x14ac:dyDescent="0.2">
      <c r="A24" s="1" t="s">
        <v>247</v>
      </c>
      <c r="B24" s="1"/>
      <c r="C24" s="1"/>
      <c r="D24" s="1"/>
      <c r="E24" s="1"/>
    </row>
    <row r="25" spans="1:5" ht="25.5" customHeight="1" x14ac:dyDescent="0.2">
      <c r="A25" s="1" t="s">
        <v>248</v>
      </c>
      <c r="B25" s="1"/>
      <c r="C25" s="1"/>
      <c r="D25" s="1"/>
      <c r="E25" s="1"/>
    </row>
    <row r="26" spans="1:5" ht="25.5" customHeight="1" x14ac:dyDescent="0.2">
      <c r="A26" s="1" t="s">
        <v>249</v>
      </c>
      <c r="B26" s="1"/>
      <c r="C26" s="1"/>
      <c r="D26" s="1"/>
      <c r="E26" s="1"/>
    </row>
    <row r="27" spans="1:5" ht="25.5" customHeight="1" x14ac:dyDescent="0.2">
      <c r="A27" s="1" t="s">
        <v>250</v>
      </c>
      <c r="B27" s="1"/>
      <c r="C27" s="1"/>
      <c r="D27" s="1"/>
      <c r="E27" s="1"/>
    </row>
    <row r="28" spans="1:5" ht="25.5" customHeight="1" x14ac:dyDescent="0.2">
      <c r="A28" s="1" t="s">
        <v>251</v>
      </c>
      <c r="B28" s="1"/>
      <c r="C28" s="1"/>
      <c r="D28" s="1"/>
      <c r="E28" s="1"/>
    </row>
  </sheetData>
  <mergeCells count="6">
    <mergeCell ref="A28:E28"/>
    <mergeCell ref="A23:E23"/>
    <mergeCell ref="A24:E24"/>
    <mergeCell ref="A25:E25"/>
    <mergeCell ref="A26:E26"/>
    <mergeCell ref="A27:E2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CN7</vt:lpstr>
      <vt:lpstr>CN10</vt:lpstr>
      <vt:lpstr>By Function</vt:lpstr>
      <vt:lpstr>Spares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grayton giesman</cp:lastModifiedBy>
  <cp:revision>0</cp:revision>
  <dcterms:created xsi:type="dcterms:W3CDTF">2026-08-09T20:09:13Z</dcterms:created>
  <dcterms:modified xsi:type="dcterms:W3CDTF">2026-08-09T20:10:56Z</dcterms:modified>
  <dc:language>en-US</dc:language>
</cp:coreProperties>
</file>